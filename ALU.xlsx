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p/Desktop/"/>
    </mc:Choice>
  </mc:AlternateContent>
  <xr:revisionPtr revIDLastSave="0" documentId="13_ncr:1_{6FDC0DB5-E058-7143-924A-4426614B8A6C}" xr6:coauthVersionLast="47" xr6:coauthVersionMax="47" xr10:uidLastSave="{00000000-0000-0000-0000-000000000000}"/>
  <bookViews>
    <workbookView xWindow="0" yWindow="680" windowWidth="34560" windowHeight="21660" xr2:uid="{3E2BF7CE-D25A-4445-BA11-A720CECB9E9B}"/>
  </bookViews>
  <sheets>
    <sheet name="ALU" sheetId="1" r:id="rId1"/>
    <sheet name="candidates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15" i="1" l="1"/>
  <c r="AD17" i="1" s="1"/>
  <c r="AB15" i="1"/>
  <c r="AB17" i="1" s="1"/>
  <c r="Z15" i="1"/>
  <c r="Z17" i="1" s="1"/>
  <c r="X15" i="1"/>
  <c r="X17" i="1" s="1"/>
  <c r="V15" i="1"/>
  <c r="V17" i="1" s="1"/>
  <c r="T15" i="1"/>
  <c r="T17" i="1" s="1"/>
  <c r="R15" i="1"/>
  <c r="R17" i="1" s="1"/>
  <c r="P15" i="1"/>
  <c r="P17" i="1" s="1"/>
  <c r="N15" i="1"/>
  <c r="N17" i="1" s="1"/>
  <c r="L15" i="1"/>
  <c r="L17" i="1" s="1"/>
  <c r="J15" i="1"/>
  <c r="J17" i="1" s="1"/>
  <c r="H15" i="1"/>
  <c r="H17" i="1" s="1"/>
  <c r="F15" i="1"/>
  <c r="F17" i="1" s="1"/>
  <c r="D15" i="1"/>
  <c r="D17" i="1" s="1"/>
  <c r="D6" i="1"/>
  <c r="D3" i="1"/>
  <c r="D5" i="1" s="1"/>
  <c r="D7" i="1" s="1"/>
  <c r="D8" i="1" s="1"/>
  <c r="D12" i="1" l="1"/>
  <c r="D13" i="1" s="1"/>
  <c r="D14" i="1" s="1"/>
  <c r="D18" i="1" l="1"/>
  <c r="D19" i="1" s="1"/>
  <c r="F6" i="1" l="1"/>
  <c r="F3" i="1"/>
  <c r="F5" i="1" s="1"/>
  <c r="F7" i="1" s="1"/>
  <c r="F8" i="1" s="1"/>
  <c r="F12" i="1" l="1"/>
  <c r="F13" i="1" s="1"/>
  <c r="F14" i="1" s="1"/>
  <c r="F18" i="1"/>
  <c r="F19" i="1" l="1"/>
  <c r="H6" i="1" l="1"/>
  <c r="H3" i="1"/>
  <c r="H5" i="1" s="1"/>
  <c r="H7" i="1" s="1"/>
  <c r="H8" i="1" s="1"/>
  <c r="H12" i="1" l="1"/>
  <c r="H13" i="1" s="1"/>
  <c r="H14" i="1" s="1"/>
  <c r="H18" i="1"/>
  <c r="H19" i="1" l="1"/>
  <c r="J6" i="1" l="1"/>
  <c r="J3" i="1"/>
  <c r="J5" i="1" s="1"/>
  <c r="J7" i="1" s="1"/>
  <c r="J8" i="1" s="1"/>
  <c r="J12" i="1" l="1"/>
  <c r="J13" i="1" s="1"/>
  <c r="J14" i="1" s="1"/>
  <c r="J18" i="1"/>
  <c r="J19" i="1" l="1"/>
  <c r="L6" i="1" l="1"/>
  <c r="L3" i="1"/>
  <c r="L5" i="1" s="1"/>
  <c r="L7" i="1" s="1"/>
  <c r="L8" i="1" s="1"/>
  <c r="L12" i="1" l="1"/>
  <c r="L13" i="1" s="1"/>
  <c r="L14" i="1" s="1"/>
  <c r="L18" i="1"/>
  <c r="L19" i="1" l="1"/>
  <c r="N3" i="1" l="1"/>
  <c r="N5" i="1" s="1"/>
  <c r="N7" i="1" s="1"/>
  <c r="N8" i="1" s="1"/>
  <c r="N6" i="1"/>
  <c r="N12" i="1" l="1"/>
  <c r="N13" i="1" s="1"/>
  <c r="N14" i="1" s="1"/>
  <c r="N18" i="1"/>
  <c r="N19" i="1" l="1"/>
  <c r="P6" i="1" l="1"/>
  <c r="P3" i="1"/>
  <c r="P5" i="1" s="1"/>
  <c r="P7" i="1" s="1"/>
  <c r="P8" i="1" s="1"/>
  <c r="P12" i="1" l="1"/>
  <c r="P13" i="1" s="1"/>
  <c r="P14" i="1" s="1"/>
  <c r="P18" i="1"/>
  <c r="P19" i="1" l="1"/>
  <c r="R6" i="1" l="1"/>
  <c r="R3" i="1"/>
  <c r="R5" i="1" s="1"/>
  <c r="R7" i="1" s="1"/>
  <c r="R8" i="1" s="1"/>
  <c r="R12" i="1" l="1"/>
  <c r="R13" i="1" s="1"/>
  <c r="R14" i="1" s="1"/>
  <c r="R18" i="1"/>
  <c r="R19" i="1" l="1"/>
  <c r="T6" i="1" l="1"/>
  <c r="T3" i="1"/>
  <c r="T5" i="1" s="1"/>
  <c r="T7" i="1" s="1"/>
  <c r="T8" i="1" s="1"/>
  <c r="T12" i="1" l="1"/>
  <c r="T13" i="1" s="1"/>
  <c r="T14" i="1" s="1"/>
  <c r="T18" i="1"/>
  <c r="T19" i="1" l="1"/>
  <c r="V3" i="1" s="1"/>
  <c r="V5" i="1" s="1"/>
  <c r="V7" i="1" s="1"/>
  <c r="V8" i="1" s="1"/>
  <c r="V6" i="1" l="1"/>
  <c r="V12" i="1"/>
  <c r="V13" i="1" s="1"/>
  <c r="V18" i="1"/>
  <c r="V14" i="1" l="1"/>
  <c r="V19" i="1" s="1"/>
  <c r="X6" i="1" l="1"/>
  <c r="X3" i="1"/>
  <c r="X5" i="1" s="1"/>
  <c r="X7" i="1" s="1"/>
  <c r="X8" i="1" s="1"/>
  <c r="X12" i="1" l="1"/>
  <c r="X13" i="1" s="1"/>
  <c r="X14" i="1" s="1"/>
  <c r="X18" i="1"/>
  <c r="X19" i="1" l="1"/>
  <c r="Z3" i="1" l="1"/>
  <c r="Z5" i="1" s="1"/>
  <c r="Z7" i="1" s="1"/>
  <c r="Z8" i="1" s="1"/>
  <c r="Z6" i="1"/>
  <c r="Z12" i="1" l="1"/>
  <c r="Z13" i="1" s="1"/>
  <c r="Z14" i="1" s="1"/>
  <c r="Z18" i="1"/>
  <c r="Z19" i="1" l="1"/>
  <c r="AB6" i="1" l="1"/>
  <c r="AB3" i="1"/>
  <c r="AB5" i="1" s="1"/>
  <c r="AB7" i="1" s="1"/>
  <c r="AB8" i="1" s="1"/>
  <c r="AB12" i="1" l="1"/>
  <c r="AB13" i="1" s="1"/>
  <c r="AB14" i="1" s="1"/>
  <c r="AB18" i="1"/>
  <c r="AB19" i="1" l="1"/>
  <c r="AD6" i="1" l="1"/>
  <c r="AD3" i="1"/>
  <c r="AD5" i="1" s="1"/>
  <c r="AD7" i="1" s="1"/>
  <c r="AD8" i="1" s="1"/>
  <c r="AD12" i="1" l="1"/>
  <c r="AD13" i="1" s="1"/>
  <c r="AD14" i="1" s="1"/>
  <c r="AD18" i="1"/>
  <c r="AD19" i="1" l="1"/>
</calcChain>
</file>

<file path=xl/sharedStrings.xml><?xml version="1.0" encoding="utf-8"?>
<sst xmlns="http://schemas.openxmlformats.org/spreadsheetml/2006/main" count="501" uniqueCount="76">
  <si>
    <t>inp w</t>
  </si>
  <si>
    <t>mul x 0</t>
  </si>
  <si>
    <t>add x z</t>
  </si>
  <si>
    <t>mod x 26</t>
  </si>
  <si>
    <t>div z 1</t>
  </si>
  <si>
    <t>add x 12</t>
  </si>
  <si>
    <t>eql x w</t>
  </si>
  <si>
    <t>eql x 0</t>
  </si>
  <si>
    <t>mul y 0</t>
  </si>
  <si>
    <t>add y 25</t>
  </si>
  <si>
    <t>mul y x</t>
  </si>
  <si>
    <t>add y 1</t>
  </si>
  <si>
    <t>mul z y</t>
  </si>
  <si>
    <t>add y w</t>
  </si>
  <si>
    <t>add y 7</t>
  </si>
  <si>
    <t>add z y</t>
  </si>
  <si>
    <t>add y 8</t>
  </si>
  <si>
    <t>add x 13</t>
  </si>
  <si>
    <t>add y 2</t>
  </si>
  <si>
    <t>add y 11</t>
  </si>
  <si>
    <t>div z 26</t>
  </si>
  <si>
    <t>add x -3</t>
  </si>
  <si>
    <t>add y 6</t>
  </si>
  <si>
    <t>add x 10</t>
  </si>
  <si>
    <t>add y 12</t>
  </si>
  <si>
    <t>add x 14</t>
  </si>
  <si>
    <t>add y 14</t>
  </si>
  <si>
    <t>add x -16</t>
  </si>
  <si>
    <t>add y 13</t>
  </si>
  <si>
    <t>add y 15</t>
  </si>
  <si>
    <t>add x -8</t>
  </si>
  <si>
    <t>add y 10</t>
  </si>
  <si>
    <t>add x -12</t>
  </si>
  <si>
    <t>add x -7</t>
  </si>
  <si>
    <t>add x -6</t>
  </si>
  <si>
    <t>add x -11</t>
  </si>
  <si>
    <t>add y 5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</si>
  <si>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</si>
  <si>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</si>
  <si>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</si>
  <si>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</si>
  <si>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</si>
  <si>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</si>
  <si>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</si>
  <si>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</si>
  <si>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</si>
  <si>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</si>
  <si>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</si>
  <si>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</si>
  <si>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</si>
  <si>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</si>
  <si>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Interpretation:</t>
  </si>
  <si>
    <t>w = digit</t>
  </si>
  <si>
    <t>x = z</t>
  </si>
  <si>
    <t>z = {z, z / 26}</t>
  </si>
  <si>
    <t>x = [0, 26]</t>
  </si>
  <si>
    <t>x = {x - M, x + M}</t>
  </si>
  <si>
    <t>if x == digit, then x = 0, otherwise x = 1</t>
  </si>
  <si>
    <t>y =25</t>
  </si>
  <si>
    <t>y = {0, 25}</t>
  </si>
  <si>
    <t>y = {1, 26}</t>
  </si>
  <si>
    <t>z = {z, 26 * z}</t>
  </si>
  <si>
    <t>y = digit</t>
  </si>
  <si>
    <t>y = digit + N</t>
  </si>
  <si>
    <t>y = {0, digit + N}</t>
  </si>
  <si>
    <t>z = {z, z + digit + N}</t>
  </si>
  <si>
    <t>Highest candidates:</t>
  </si>
  <si>
    <t>Lowest candidates:</t>
  </si>
  <si>
    <t>Explanation:</t>
  </si>
  <si>
    <t>Lowest valid number:</t>
  </si>
  <si>
    <t>Highest valid number:</t>
  </si>
  <si>
    <t>Glancing at the long linear ALU program, it was clear that it's composed of 14 independent "subprograms", each i-th subprogram receiving a single number from the z register populated by the (i-1)th subprogram before it (as well as the i-th digit of the input submarine model number).</t>
  </si>
  <si>
    <t>Still, even with this knowledge, I had trouble of coming up with an automated solution implementing the rules encoded by the MONAD input program.</t>
  </si>
  <si>
    <t>To help me figure out the puzzle, I turned the ALU/MONAD subprograms into this interactive Excel spreadsheet… and realized that once I have it encoded like this, I can solve this puzzle quite easily without writing a single line of code. Just clicking through this a couple of times was enough to see what's going on with this puzzle.</t>
  </si>
  <si>
    <t>Hint: the pink-highlighted register x which compares its current value to the digit received by the i-th subprogram must be always zero for any given input number to be valid (i.e., the final value of the black register z ending up with value zero).</t>
  </si>
  <si>
    <t>This "method" might seem crazy to you, but I haven't used Excel since high school, so I had a lot of fun creating this as a very weird "interactive puzzle game". :)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</si>
</sst>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sz val="12"/>
      <color theme="0"/>
      <name val="Aptos Narrow"/>
      <scheme val="minor"/>
    </font>
    <font>
      <sz val="12"/>
      <color rgb="FF000000"/>
      <name val="Aptos Narrow"/>
      <scheme val="minor"/>
    </font>
    <font>
      <b/>
      <sz val="12"/>
      <color rgb="FF000000"/>
      <name val="Aptos Narrow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B5E6A2"/>
        <bgColor rgb="FF000000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/>
    <xf numFmtId="0" fontId="2" fillId="0" borderId="2" xfId="0" applyFont="1" applyBorder="1"/>
    <xf numFmtId="0" fontId="0" fillId="0" borderId="1" xfId="0" applyBorder="1"/>
    <xf numFmtId="0" fontId="3" fillId="0" borderId="0" xfId="0" applyFont="1"/>
    <xf numFmtId="0" fontId="0" fillId="0" borderId="3" xfId="0" applyBorder="1"/>
    <xf numFmtId="0" fontId="2" fillId="2" borderId="4" xfId="0" applyFont="1" applyFill="1" applyBorder="1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3" borderId="2" xfId="0" applyFont="1" applyFill="1" applyBorder="1"/>
    <xf numFmtId="0" fontId="2" fillId="4" borderId="1" xfId="0" applyFont="1" applyFill="1" applyBorder="1"/>
    <xf numFmtId="0" fontId="4" fillId="5" borderId="4" xfId="0" applyFont="1" applyFill="1" applyBorder="1"/>
    <xf numFmtId="0" fontId="1" fillId="0" borderId="0" xfId="0" applyFont="1" applyAlignment="1">
      <alignment horizontal="center" vertical="center" wrapText="1"/>
    </xf>
    <xf numFmtId="0" fontId="2" fillId="6" borderId="1" xfId="0" applyFont="1" applyFill="1" applyBorder="1"/>
    <xf numFmtId="0" fontId="5" fillId="0" borderId="1" xfId="0" applyFont="1" applyBorder="1"/>
    <xf numFmtId="0" fontId="6" fillId="7" borderId="2" xfId="0" applyFont="1" applyFill="1" applyBorder="1"/>
    <xf numFmtId="0" fontId="5" fillId="0" borderId="0" xfId="0" applyFont="1"/>
    <xf numFmtId="0" fontId="6" fillId="0" borderId="0" xfId="0" applyFont="1"/>
    <xf numFmtId="0" fontId="6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5" fillId="0" borderId="0" xfId="0" applyFont="1" applyBorder="1"/>
    <xf numFmtId="0" fontId="2" fillId="0" borderId="0" xfId="0" applyFont="1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Spin" dx="15" fmlaLink="$D$2" max="9" min="1" page="10" val="9"/>
</file>

<file path=xl/ctrlProps/ctrlProp2.xml><?xml version="1.0" encoding="utf-8"?>
<formControlPr xmlns="http://schemas.microsoft.com/office/spreadsheetml/2009/9/main" objectType="Spin" dx="15" fmlaLink="$F$2" max="9" min="1" page="10" val="9"/>
</file>

<file path=xl/ctrlProps/ctrlProp3.xml><?xml version="1.0" encoding="utf-8"?>
<formControlPr xmlns="http://schemas.microsoft.com/office/spreadsheetml/2009/9/main" objectType="Spin" dx="15" fmlaLink="$H$2" max="9" min="1" page="10" val="9"/>
</file>

<file path=xl/ctrlProps/ctrlProp4.xml><?xml version="1.0" encoding="utf-8"?>
<formControlPr xmlns="http://schemas.microsoft.com/office/spreadsheetml/2009/9/main" objectType="Spin" dx="15" fmlaLink="$J$2" max="9" min="1" page="10" val="9"/>
</file>

<file path=xl/ctrlProps/ctrlProp5.xml><?xml version="1.0" encoding="utf-8"?>
<formControlPr xmlns="http://schemas.microsoft.com/office/spreadsheetml/2009/9/main" objectType="Spin" dx="15" fmlaLink="$L$2" max="9" min="1" page="10" val="9"/>
</file>

<file path=xl/ctrlProps/ctrlProp6.xml><?xml version="1.0" encoding="utf-8"?>
<formControlPr xmlns="http://schemas.microsoft.com/office/spreadsheetml/2009/9/main" objectType="Spin" dx="15" fmlaLink="$N$2" max="9" min="1" page="10" val="9"/>
</file>

<file path=xl/ctrlProps/ctrlProp7.xml><?xml version="1.0" encoding="utf-8"?>
<formControlPr xmlns="http://schemas.microsoft.com/office/spreadsheetml/2009/9/main" objectType="Spin" dx="15" fmlaLink="$P$2" max="9" min="1" page="10" val="9"/>
</file>

<file path=xl/ctrlProps/ctrlProp8.xml><?xml version="1.0" encoding="utf-8"?>
<formControlPr xmlns="http://schemas.microsoft.com/office/spreadsheetml/2009/9/main" objectType="Spin" dx="15" fmlaLink="$R$2" max="9" min="1" page="10" val="9"/>
</file>

<file path=xl/ctrlProps/ctrlProp9.xml><?xml version="1.0" encoding="utf-8"?>
<formControlPr xmlns="http://schemas.microsoft.com/office/spreadsheetml/2009/9/main" objectType="Spin" dx="15" fmlaLink="$T$2" max="9" min="1" page="10" val="9"/>
</file>

<file path=xl/ctrlProps/ctrlProp10.xml><?xml version="1.0" encoding="utf-8"?>
<formControlPr xmlns="http://schemas.microsoft.com/office/spreadsheetml/2009/9/main" objectType="Spin" dx="15" fmlaLink="$V$2" max="9" min="1" page="10" val="9"/>
</file>

<file path=xl/ctrlProps/ctrlProp11.xml><?xml version="1.0" encoding="utf-8"?>
<formControlPr xmlns="http://schemas.microsoft.com/office/spreadsheetml/2009/9/main" objectType="Spin" dx="15" fmlaLink="$X$2" max="9" min="1" page="10" val="9"/>
</file>

<file path=xl/ctrlProps/ctrlProp12.xml><?xml version="1.0" encoding="utf-8"?>
<formControlPr xmlns="http://schemas.microsoft.com/office/spreadsheetml/2009/9/main" objectType="Spin" dx="15" fmlaLink="$Z$2" max="9" min="1" page="10" val="9"/>
</file>

<file path=xl/ctrlProps/ctrlProp13.xml><?xml version="1.0" encoding="utf-8"?>
<formControlPr xmlns="http://schemas.microsoft.com/office/spreadsheetml/2009/9/main" objectType="Spin" dx="15" fmlaLink="$AB$2" max="9" min="1" page="10" val="9"/>
</file>

<file path=xl/ctrlProps/ctrlProp14.xml><?xml version="1.0" encoding="utf-8"?>
<formControlPr xmlns="http://schemas.microsoft.com/office/spreadsheetml/2009/9/main" objectType="Spin" dx="15" fmlaLink="$AD$2" max="9" min="1" page="10" val="9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12700</xdr:colOff>
          <xdr:row>0</xdr:row>
          <xdr:rowOff>12700</xdr:rowOff>
        </xdr:from>
        <xdr:to>
          <xdr:col>3</xdr:col>
          <xdr:colOff>393700</xdr:colOff>
          <xdr:row>0</xdr:row>
          <xdr:rowOff>292100</xdr:rowOff>
        </xdr:to>
        <xdr:sp macro="" textlink="">
          <xdr:nvSpPr>
            <xdr:cNvPr id="1034" name="Spinner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12700</xdr:colOff>
          <xdr:row>0</xdr:row>
          <xdr:rowOff>12700</xdr:rowOff>
        </xdr:from>
        <xdr:to>
          <xdr:col>5</xdr:col>
          <xdr:colOff>393700</xdr:colOff>
          <xdr:row>0</xdr:row>
          <xdr:rowOff>292100</xdr:rowOff>
        </xdr:to>
        <xdr:sp macro="" textlink="">
          <xdr:nvSpPr>
            <xdr:cNvPr id="1036" name="Spinner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50800</xdr:colOff>
          <xdr:row>0</xdr:row>
          <xdr:rowOff>12700</xdr:rowOff>
        </xdr:from>
        <xdr:to>
          <xdr:col>7</xdr:col>
          <xdr:colOff>431800</xdr:colOff>
          <xdr:row>0</xdr:row>
          <xdr:rowOff>292100</xdr:rowOff>
        </xdr:to>
        <xdr:sp macro="" textlink="">
          <xdr:nvSpPr>
            <xdr:cNvPr id="1037" name="Spinner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88900</xdr:colOff>
          <xdr:row>0</xdr:row>
          <xdr:rowOff>25400</xdr:rowOff>
        </xdr:from>
        <xdr:to>
          <xdr:col>9</xdr:col>
          <xdr:colOff>469900</xdr:colOff>
          <xdr:row>0</xdr:row>
          <xdr:rowOff>304800</xdr:rowOff>
        </xdr:to>
        <xdr:sp macro="" textlink="">
          <xdr:nvSpPr>
            <xdr:cNvPr id="1038" name="Spinner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88900</xdr:colOff>
          <xdr:row>0</xdr:row>
          <xdr:rowOff>12700</xdr:rowOff>
        </xdr:from>
        <xdr:to>
          <xdr:col>11</xdr:col>
          <xdr:colOff>469900</xdr:colOff>
          <xdr:row>0</xdr:row>
          <xdr:rowOff>292100</xdr:rowOff>
        </xdr:to>
        <xdr:sp macro="" textlink="">
          <xdr:nvSpPr>
            <xdr:cNvPr id="1039" name="Spinner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127000</xdr:colOff>
          <xdr:row>0</xdr:row>
          <xdr:rowOff>12700</xdr:rowOff>
        </xdr:from>
        <xdr:to>
          <xdr:col>13</xdr:col>
          <xdr:colOff>508000</xdr:colOff>
          <xdr:row>0</xdr:row>
          <xdr:rowOff>292100</xdr:rowOff>
        </xdr:to>
        <xdr:sp macro="" textlink="">
          <xdr:nvSpPr>
            <xdr:cNvPr id="1040" name="Spinner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215900</xdr:colOff>
          <xdr:row>0</xdr:row>
          <xdr:rowOff>12700</xdr:rowOff>
        </xdr:from>
        <xdr:to>
          <xdr:col>15</xdr:col>
          <xdr:colOff>596900</xdr:colOff>
          <xdr:row>0</xdr:row>
          <xdr:rowOff>292100</xdr:rowOff>
        </xdr:to>
        <xdr:sp macro="" textlink="">
          <xdr:nvSpPr>
            <xdr:cNvPr id="1041" name="Spinner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203200</xdr:colOff>
          <xdr:row>0</xdr:row>
          <xdr:rowOff>12700</xdr:rowOff>
        </xdr:from>
        <xdr:to>
          <xdr:col>17</xdr:col>
          <xdr:colOff>584200</xdr:colOff>
          <xdr:row>0</xdr:row>
          <xdr:rowOff>292100</xdr:rowOff>
        </xdr:to>
        <xdr:sp macro="" textlink="">
          <xdr:nvSpPr>
            <xdr:cNvPr id="1042" name="Spinner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19</xdr:col>
          <xdr:colOff>241300</xdr:colOff>
          <xdr:row>0</xdr:row>
          <xdr:rowOff>12700</xdr:rowOff>
        </xdr:from>
        <xdr:to>
          <xdr:col>19</xdr:col>
          <xdr:colOff>622300</xdr:colOff>
          <xdr:row>0</xdr:row>
          <xdr:rowOff>292100</xdr:rowOff>
        </xdr:to>
        <xdr:sp macro="" textlink="">
          <xdr:nvSpPr>
            <xdr:cNvPr id="1043" name="Spinner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21</xdr:col>
          <xdr:colOff>241300</xdr:colOff>
          <xdr:row>0</xdr:row>
          <xdr:rowOff>12700</xdr:rowOff>
        </xdr:from>
        <xdr:to>
          <xdr:col>21</xdr:col>
          <xdr:colOff>622300</xdr:colOff>
          <xdr:row>0</xdr:row>
          <xdr:rowOff>292100</xdr:rowOff>
        </xdr:to>
        <xdr:sp macro="" textlink="">
          <xdr:nvSpPr>
            <xdr:cNvPr id="1044" name="Spinner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0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23</xdr:col>
          <xdr:colOff>241300</xdr:colOff>
          <xdr:row>0</xdr:row>
          <xdr:rowOff>12700</xdr:rowOff>
        </xdr:from>
        <xdr:to>
          <xdr:col>23</xdr:col>
          <xdr:colOff>622300</xdr:colOff>
          <xdr:row>0</xdr:row>
          <xdr:rowOff>292100</xdr:rowOff>
        </xdr:to>
        <xdr:sp macro="" textlink="">
          <xdr:nvSpPr>
            <xdr:cNvPr id="1045" name="Spinner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25</xdr:col>
          <xdr:colOff>241300</xdr:colOff>
          <xdr:row>0</xdr:row>
          <xdr:rowOff>12700</xdr:rowOff>
        </xdr:from>
        <xdr:to>
          <xdr:col>25</xdr:col>
          <xdr:colOff>622300</xdr:colOff>
          <xdr:row>0</xdr:row>
          <xdr:rowOff>292100</xdr:rowOff>
        </xdr:to>
        <xdr:sp macro="" textlink="">
          <xdr:nvSpPr>
            <xdr:cNvPr id="1046" name="Spinner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241300</xdr:colOff>
          <xdr:row>0</xdr:row>
          <xdr:rowOff>12700</xdr:rowOff>
        </xdr:from>
        <xdr:to>
          <xdr:col>27</xdr:col>
          <xdr:colOff>622300</xdr:colOff>
          <xdr:row>0</xdr:row>
          <xdr:rowOff>292100</xdr:rowOff>
        </xdr:to>
        <xdr:sp macro="" textlink="">
          <xdr:nvSpPr>
            <xdr:cNvPr id="1047" name="Spinner 23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00000000-0008-0000-0000-00001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29</xdr:col>
          <xdr:colOff>241300</xdr:colOff>
          <xdr:row>0</xdr:row>
          <xdr:rowOff>12700</xdr:rowOff>
        </xdr:from>
        <xdr:to>
          <xdr:col>29</xdr:col>
          <xdr:colOff>622300</xdr:colOff>
          <xdr:row>0</xdr:row>
          <xdr:rowOff>292100</xdr:rowOff>
        </xdr:to>
        <xdr:sp macro="" textlink="">
          <xdr:nvSpPr>
            <xdr:cNvPr id="1048" name="Spinner 24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00000000-0008-0000-0000-00001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6.xml"/><Relationship Id="rId13" Type="http://schemas.openxmlformats.org/officeDocument/2006/relationships/ctrlProp" Target="../ctrlProps/ctrlProp11.xml"/><Relationship Id="rId3" Type="http://schemas.openxmlformats.org/officeDocument/2006/relationships/ctrlProp" Target="../ctrlProps/ctrlProp1.xml"/><Relationship Id="rId7" Type="http://schemas.openxmlformats.org/officeDocument/2006/relationships/ctrlProp" Target="../ctrlProps/ctrlProp5.xml"/><Relationship Id="rId12" Type="http://schemas.openxmlformats.org/officeDocument/2006/relationships/ctrlProp" Target="../ctrlProps/ctrlProp10.xml"/><Relationship Id="rId2" Type="http://schemas.openxmlformats.org/officeDocument/2006/relationships/vmlDrawing" Target="../drawings/vmlDrawing1.vml"/><Relationship Id="rId16" Type="http://schemas.openxmlformats.org/officeDocument/2006/relationships/ctrlProp" Target="../ctrlProps/ctrlProp14.xml"/><Relationship Id="rId1" Type="http://schemas.openxmlformats.org/officeDocument/2006/relationships/drawing" Target="../drawings/drawing1.xml"/><Relationship Id="rId6" Type="http://schemas.openxmlformats.org/officeDocument/2006/relationships/ctrlProp" Target="../ctrlProps/ctrlProp4.xml"/><Relationship Id="rId11" Type="http://schemas.openxmlformats.org/officeDocument/2006/relationships/ctrlProp" Target="../ctrlProps/ctrlProp9.xml"/><Relationship Id="rId5" Type="http://schemas.openxmlformats.org/officeDocument/2006/relationships/ctrlProp" Target="../ctrlProps/ctrlProp3.xml"/><Relationship Id="rId15" Type="http://schemas.openxmlformats.org/officeDocument/2006/relationships/ctrlProp" Target="../ctrlProps/ctrlProp13.xml"/><Relationship Id="rId10" Type="http://schemas.openxmlformats.org/officeDocument/2006/relationships/ctrlProp" Target="../ctrlProps/ctrlProp8.xml"/><Relationship Id="rId4" Type="http://schemas.openxmlformats.org/officeDocument/2006/relationships/ctrlProp" Target="../ctrlProps/ctrlProp2.xml"/><Relationship Id="rId9" Type="http://schemas.openxmlformats.org/officeDocument/2006/relationships/ctrlProp" Target="../ctrlProps/ctrlProp7.xml"/><Relationship Id="rId14" Type="http://schemas.openxmlformats.org/officeDocument/2006/relationships/ctrlProp" Target="../ctrlProps/ctrlProp1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B1FFD-D7A1-8049-9E6B-11CE7A93E5C8}">
  <dimension ref="A1:AE40"/>
  <sheetViews>
    <sheetView tabSelected="1" zoomScaleNormal="100" workbookViewId="0">
      <selection activeCell="H43" sqref="H43"/>
    </sheetView>
  </sheetViews>
  <sheetFormatPr baseColWidth="10" defaultRowHeight="16" x14ac:dyDescent="0.2"/>
  <cols>
    <col min="1" max="1" width="21.6640625" customWidth="1"/>
    <col min="2" max="2" width="2.1640625" customWidth="1"/>
    <col min="3" max="3" width="8.83203125" customWidth="1"/>
    <col min="4" max="4" width="4.1640625" customWidth="1"/>
    <col min="5" max="5" width="8.83203125" customWidth="1"/>
    <col min="6" max="6" width="5.33203125" customWidth="1"/>
    <col min="7" max="7" width="8.5" bestFit="1" customWidth="1"/>
    <col min="8" max="8" width="6.33203125" bestFit="1" customWidth="1"/>
    <col min="9" max="9" width="8.5" bestFit="1" customWidth="1"/>
    <col min="10" max="10" width="7.33203125" bestFit="1" customWidth="1"/>
    <col min="11" max="11" width="8.5" bestFit="1" customWidth="1"/>
    <col min="12" max="12" width="7.33203125" bestFit="1" customWidth="1"/>
    <col min="13" max="15" width="8.5" bestFit="1" customWidth="1"/>
    <col min="16" max="16" width="10.5" bestFit="1" customWidth="1"/>
    <col min="17" max="17" width="8.5" bestFit="1" customWidth="1"/>
    <col min="18" max="18" width="10.5" bestFit="1" customWidth="1"/>
    <col min="19" max="19" width="8.5" bestFit="1" customWidth="1"/>
    <col min="20" max="20" width="11.6640625" bestFit="1" customWidth="1"/>
    <col min="21" max="21" width="8.83203125" customWidth="1"/>
    <col min="22" max="22" width="11.6640625" bestFit="1" customWidth="1"/>
    <col min="23" max="23" width="8.83203125" customWidth="1"/>
    <col min="24" max="24" width="11.6640625" bestFit="1" customWidth="1"/>
    <col min="25" max="25" width="8.83203125" customWidth="1"/>
    <col min="26" max="26" width="11.6640625" bestFit="1" customWidth="1"/>
    <col min="27" max="27" width="8.83203125" customWidth="1"/>
    <col min="28" max="28" width="11.6640625" bestFit="1" customWidth="1"/>
    <col min="29" max="29" width="8.83203125" customWidth="1"/>
    <col min="30" max="30" width="11.6640625" bestFit="1" customWidth="1"/>
    <col min="31" max="31" width="5.33203125" customWidth="1"/>
  </cols>
  <sheetData>
    <row r="1" spans="1:30" s="6" customFormat="1" ht="24" customHeight="1" thickBot="1" x14ac:dyDescent="0.25">
      <c r="A1" s="20" t="s">
        <v>51</v>
      </c>
      <c r="C1" s="15" t="s">
        <v>37</v>
      </c>
      <c r="D1" s="16"/>
      <c r="E1" s="15" t="s">
        <v>38</v>
      </c>
      <c r="F1" s="16"/>
      <c r="G1" s="15" t="s">
        <v>39</v>
      </c>
      <c r="H1" s="16"/>
      <c r="I1" s="15" t="s">
        <v>40</v>
      </c>
      <c r="J1" s="16"/>
      <c r="K1" s="15" t="s">
        <v>41</v>
      </c>
      <c r="L1" s="16"/>
      <c r="M1" s="15" t="s">
        <v>42</v>
      </c>
      <c r="N1" s="16"/>
      <c r="O1" s="15" t="s">
        <v>43</v>
      </c>
      <c r="P1" s="16"/>
      <c r="Q1" s="15" t="s">
        <v>44</v>
      </c>
      <c r="R1" s="16"/>
      <c r="S1" s="15" t="s">
        <v>45</v>
      </c>
      <c r="T1" s="16"/>
      <c r="U1" s="15" t="s">
        <v>46</v>
      </c>
      <c r="V1" s="16"/>
      <c r="W1" s="15" t="s">
        <v>47</v>
      </c>
      <c r="X1" s="16"/>
      <c r="Y1" s="15" t="s">
        <v>48</v>
      </c>
      <c r="Z1" s="16"/>
      <c r="AA1" s="15" t="s">
        <v>49</v>
      </c>
      <c r="AB1" s="16"/>
      <c r="AC1" s="15" t="s">
        <v>50</v>
      </c>
      <c r="AD1" s="16"/>
    </row>
    <row r="2" spans="1:30" s="2" customFormat="1" ht="17" thickTop="1" x14ac:dyDescent="0.2">
      <c r="A2" s="3" t="s">
        <v>52</v>
      </c>
      <c r="B2" s="3"/>
      <c r="C2" s="7" t="s">
        <v>0</v>
      </c>
      <c r="D2" s="17">
        <v>9</v>
      </c>
      <c r="E2" s="7" t="s">
        <v>0</v>
      </c>
      <c r="F2" s="17">
        <v>9</v>
      </c>
      <c r="G2" s="7" t="s">
        <v>0</v>
      </c>
      <c r="H2" s="17">
        <v>9</v>
      </c>
      <c r="I2" s="7" t="s">
        <v>0</v>
      </c>
      <c r="J2" s="17">
        <v>9</v>
      </c>
      <c r="K2" s="7" t="s">
        <v>0</v>
      </c>
      <c r="L2" s="17">
        <v>9</v>
      </c>
      <c r="M2" s="7" t="s">
        <v>0</v>
      </c>
      <c r="N2" s="17">
        <v>9</v>
      </c>
      <c r="O2" s="7" t="s">
        <v>0</v>
      </c>
      <c r="P2" s="17">
        <v>9</v>
      </c>
      <c r="Q2" s="7" t="s">
        <v>0</v>
      </c>
      <c r="R2" s="17">
        <v>9</v>
      </c>
      <c r="S2" s="7" t="s">
        <v>0</v>
      </c>
      <c r="T2" s="17">
        <v>9</v>
      </c>
      <c r="U2" s="7" t="s">
        <v>0</v>
      </c>
      <c r="V2" s="17">
        <v>9</v>
      </c>
      <c r="W2" s="7" t="s">
        <v>0</v>
      </c>
      <c r="X2" s="17">
        <v>9</v>
      </c>
      <c r="Y2" s="7" t="s">
        <v>0</v>
      </c>
      <c r="Z2" s="17">
        <v>9</v>
      </c>
      <c r="AA2" s="7" t="s">
        <v>0</v>
      </c>
      <c r="AB2" s="17">
        <v>9</v>
      </c>
      <c r="AC2" s="7" t="s">
        <v>0</v>
      </c>
      <c r="AD2" s="17">
        <v>9</v>
      </c>
    </row>
    <row r="3" spans="1:30" s="2" customFormat="1" x14ac:dyDescent="0.2">
      <c r="A3" s="30" t="s">
        <v>53</v>
      </c>
      <c r="B3" s="13"/>
      <c r="C3" s="7" t="s">
        <v>1</v>
      </c>
      <c r="D3" s="27">
        <f>B19</f>
        <v>0</v>
      </c>
      <c r="E3" s="7" t="s">
        <v>1</v>
      </c>
      <c r="F3" s="27">
        <f>D19</f>
        <v>16</v>
      </c>
      <c r="G3" s="7" t="s">
        <v>1</v>
      </c>
      <c r="H3" s="27">
        <f>F19</f>
        <v>433</v>
      </c>
      <c r="I3" s="7" t="s">
        <v>1</v>
      </c>
      <c r="J3" s="27">
        <f>H19</f>
        <v>11269</v>
      </c>
      <c r="K3" s="7" t="s">
        <v>1</v>
      </c>
      <c r="L3" s="27">
        <f>J19</f>
        <v>293014</v>
      </c>
      <c r="M3" s="7" t="s">
        <v>1</v>
      </c>
      <c r="N3" s="27">
        <f>L19</f>
        <v>293009</v>
      </c>
      <c r="O3" s="7" t="s">
        <v>1</v>
      </c>
      <c r="P3" s="27">
        <f>N19</f>
        <v>7618255</v>
      </c>
      <c r="Q3" s="7" t="s">
        <v>1</v>
      </c>
      <c r="R3" s="27">
        <f>P19</f>
        <v>198074653</v>
      </c>
      <c r="S3" s="7" t="s">
        <v>1</v>
      </c>
      <c r="T3" s="27">
        <f>R19</f>
        <v>198074652</v>
      </c>
      <c r="U3" s="7" t="s">
        <v>1</v>
      </c>
      <c r="V3" s="27">
        <f>T19</f>
        <v>5149940976</v>
      </c>
      <c r="W3" s="7" t="s">
        <v>1</v>
      </c>
      <c r="X3" s="27">
        <f>V19</f>
        <v>5149940971</v>
      </c>
      <c r="Y3" s="7" t="s">
        <v>1</v>
      </c>
      <c r="Z3" s="27">
        <f>X19</f>
        <v>5149940967</v>
      </c>
      <c r="AA3" s="7" t="s">
        <v>1</v>
      </c>
      <c r="AB3" s="27">
        <f>Z19</f>
        <v>5149940971</v>
      </c>
      <c r="AC3" s="7" t="s">
        <v>1</v>
      </c>
      <c r="AD3" s="27">
        <f>AB19</f>
        <v>5149940969</v>
      </c>
    </row>
    <row r="4" spans="1:30" x14ac:dyDescent="0.2">
      <c r="A4" s="30"/>
      <c r="B4" s="13"/>
      <c r="C4" s="7" t="s">
        <v>2</v>
      </c>
      <c r="D4" s="27"/>
      <c r="E4" s="7" t="s">
        <v>2</v>
      </c>
      <c r="F4" s="27"/>
      <c r="G4" s="7" t="s">
        <v>2</v>
      </c>
      <c r="H4" s="27"/>
      <c r="I4" s="7" t="s">
        <v>2</v>
      </c>
      <c r="J4" s="27"/>
      <c r="K4" s="7" t="s">
        <v>2</v>
      </c>
      <c r="L4" s="27"/>
      <c r="M4" s="7" t="s">
        <v>2</v>
      </c>
      <c r="N4" s="27"/>
      <c r="O4" s="7" t="s">
        <v>2</v>
      </c>
      <c r="P4" s="27"/>
      <c r="Q4" s="7" t="s">
        <v>2</v>
      </c>
      <c r="R4" s="27"/>
      <c r="S4" s="7" t="s">
        <v>2</v>
      </c>
      <c r="T4" s="27"/>
      <c r="U4" s="7" t="s">
        <v>2</v>
      </c>
      <c r="V4" s="27"/>
      <c r="W4" s="7" t="s">
        <v>2</v>
      </c>
      <c r="X4" s="27"/>
      <c r="Y4" s="7" t="s">
        <v>2</v>
      </c>
      <c r="Z4" s="27"/>
      <c r="AA4" s="7" t="s">
        <v>2</v>
      </c>
      <c r="AB4" s="27"/>
      <c r="AC4" s="7" t="s">
        <v>2</v>
      </c>
      <c r="AD4" s="27"/>
    </row>
    <row r="5" spans="1:30" s="1" customFormat="1" x14ac:dyDescent="0.2">
      <c r="A5" s="3" t="s">
        <v>55</v>
      </c>
      <c r="B5" s="3"/>
      <c r="C5" s="9" t="s">
        <v>3</v>
      </c>
      <c r="D5" s="8">
        <f>MOD(D3,26)</f>
        <v>0</v>
      </c>
      <c r="E5" s="9" t="s">
        <v>3</v>
      </c>
      <c r="F5" s="8">
        <f>MOD(F3,26)</f>
        <v>16</v>
      </c>
      <c r="G5" s="9" t="s">
        <v>3</v>
      </c>
      <c r="H5" s="8">
        <f>MOD(H3,26)</f>
        <v>17</v>
      </c>
      <c r="I5" s="9" t="s">
        <v>3</v>
      </c>
      <c r="J5" s="8">
        <f>MOD(J3,26)</f>
        <v>11</v>
      </c>
      <c r="K5" s="9" t="s">
        <v>3</v>
      </c>
      <c r="L5" s="8">
        <f>MOD(L3,26)</f>
        <v>20</v>
      </c>
      <c r="M5" s="9" t="s">
        <v>3</v>
      </c>
      <c r="N5" s="8">
        <f>MOD(N3,26)</f>
        <v>15</v>
      </c>
      <c r="O5" s="9" t="s">
        <v>3</v>
      </c>
      <c r="P5" s="8">
        <f>MOD(P3,26)</f>
        <v>21</v>
      </c>
      <c r="Q5" s="9" t="s">
        <v>3</v>
      </c>
      <c r="R5" s="8">
        <f>MOD(R3,26)</f>
        <v>23</v>
      </c>
      <c r="S5" s="9" t="s">
        <v>3</v>
      </c>
      <c r="T5" s="8">
        <f>MOD(T3,26)</f>
        <v>22</v>
      </c>
      <c r="U5" s="9" t="s">
        <v>3</v>
      </c>
      <c r="V5" s="8">
        <f>MOD(V3,26)</f>
        <v>24</v>
      </c>
      <c r="W5" s="9" t="s">
        <v>3</v>
      </c>
      <c r="X5" s="8">
        <f>MOD(X3,26)</f>
        <v>19</v>
      </c>
      <c r="Y5" s="9" t="s">
        <v>3</v>
      </c>
      <c r="Z5" s="8">
        <f>MOD(Z3,26)</f>
        <v>15</v>
      </c>
      <c r="AA5" s="9" t="s">
        <v>3</v>
      </c>
      <c r="AB5" s="8">
        <f>MOD(AB3,26)</f>
        <v>19</v>
      </c>
      <c r="AC5" s="9" t="s">
        <v>3</v>
      </c>
      <c r="AD5" s="8">
        <f>MOD(AD3,26)</f>
        <v>17</v>
      </c>
    </row>
    <row r="6" spans="1:30" s="2" customFormat="1" x14ac:dyDescent="0.2">
      <c r="A6" s="3" t="s">
        <v>54</v>
      </c>
      <c r="B6" s="3"/>
      <c r="C6" s="18" t="s">
        <v>4</v>
      </c>
      <c r="D6" s="8">
        <f>_xlfn.FLOOR.MATH(B19/VALUE(REPLACE(C6,1,6,"")))</f>
        <v>0</v>
      </c>
      <c r="E6" s="18" t="s">
        <v>4</v>
      </c>
      <c r="F6" s="8">
        <f>_xlfn.FLOOR.MATH(D19/VALUE(REPLACE(E6,1,6,"")))</f>
        <v>16</v>
      </c>
      <c r="G6" s="18" t="s">
        <v>4</v>
      </c>
      <c r="H6" s="8">
        <f>_xlfn.FLOOR.MATH(F19/VALUE(REPLACE(G6,1,6,"")))</f>
        <v>433</v>
      </c>
      <c r="I6" s="18" t="s">
        <v>4</v>
      </c>
      <c r="J6" s="8">
        <f>_xlfn.FLOOR.MATH(H19/VALUE(REPLACE(I6,1,6,"")))</f>
        <v>11269</v>
      </c>
      <c r="K6" s="21" t="s">
        <v>20</v>
      </c>
      <c r="L6" s="8">
        <f>_xlfn.FLOOR.MATH(J19/VALUE(REPLACE(K6,1,6,"")))</f>
        <v>11269</v>
      </c>
      <c r="M6" s="18" t="s">
        <v>4</v>
      </c>
      <c r="N6" s="8">
        <f>_xlfn.FLOOR.MATH(L19/VALUE(REPLACE(M6,1,6,"")))</f>
        <v>293009</v>
      </c>
      <c r="O6" s="18" t="s">
        <v>4</v>
      </c>
      <c r="P6" s="8">
        <f>_xlfn.FLOOR.MATH(N19/VALUE(REPLACE(O6,1,6,"")))</f>
        <v>7618255</v>
      </c>
      <c r="Q6" s="21" t="s">
        <v>20</v>
      </c>
      <c r="R6" s="8">
        <f>_xlfn.FLOOR.MATH(P19/VALUE(REPLACE(Q6,1,6,"")))</f>
        <v>7618255</v>
      </c>
      <c r="S6" s="18" t="s">
        <v>4</v>
      </c>
      <c r="T6" s="8">
        <f>_xlfn.FLOOR.MATH(R19/VALUE(REPLACE(S6,1,6,"")))</f>
        <v>198074652</v>
      </c>
      <c r="U6" s="21" t="s">
        <v>20</v>
      </c>
      <c r="V6" s="8">
        <f>_xlfn.FLOOR.MATH(T19/VALUE(REPLACE(U6,1,6,"")))</f>
        <v>198074652</v>
      </c>
      <c r="W6" s="21" t="s">
        <v>20</v>
      </c>
      <c r="X6" s="8">
        <f>_xlfn.FLOOR.MATH(V19/VALUE(REPLACE(W6,1,6,"")))</f>
        <v>198074652</v>
      </c>
      <c r="Y6" s="21" t="s">
        <v>20</v>
      </c>
      <c r="Z6" s="8">
        <f>_xlfn.FLOOR.MATH(X19/VALUE(REPLACE(Y6,1,6,"")))</f>
        <v>198074652</v>
      </c>
      <c r="AA6" s="21" t="s">
        <v>20</v>
      </c>
      <c r="AB6" s="8">
        <f>_xlfn.FLOOR.MATH(Z19/VALUE(REPLACE(AA6,1,6,"")))</f>
        <v>198074652</v>
      </c>
      <c r="AC6" s="21" t="s">
        <v>20</v>
      </c>
      <c r="AD6" s="8">
        <f>_xlfn.FLOOR.MATH(AB19/VALUE(REPLACE(AC6,1,6,"")))</f>
        <v>198074652</v>
      </c>
    </row>
    <row r="7" spans="1:30" s="2" customFormat="1" x14ac:dyDescent="0.2">
      <c r="A7" s="3" t="s">
        <v>56</v>
      </c>
      <c r="B7" s="3"/>
      <c r="C7" s="7" t="s">
        <v>5</v>
      </c>
      <c r="D7" s="8">
        <f>D5+VALUE(REPLACE(C7,1,6,""))</f>
        <v>12</v>
      </c>
      <c r="E7" s="7" t="s">
        <v>5</v>
      </c>
      <c r="F7" s="8">
        <f>F5+VALUE(REPLACE(E7,1,6,""))</f>
        <v>28</v>
      </c>
      <c r="G7" s="7" t="s">
        <v>17</v>
      </c>
      <c r="H7" s="8">
        <f>H5+VALUE(REPLACE(G7,1,6,""))</f>
        <v>30</v>
      </c>
      <c r="I7" s="7" t="s">
        <v>5</v>
      </c>
      <c r="J7" s="8">
        <f>J5+VALUE(REPLACE(I7,1,6,""))</f>
        <v>23</v>
      </c>
      <c r="K7" s="7" t="s">
        <v>21</v>
      </c>
      <c r="L7" s="8">
        <f>L5+VALUE(REPLACE(K7,1,6,""))</f>
        <v>17</v>
      </c>
      <c r="M7" s="7" t="s">
        <v>23</v>
      </c>
      <c r="N7" s="8">
        <f>N5+VALUE(REPLACE(M7,1,6,""))</f>
        <v>25</v>
      </c>
      <c r="O7" s="7" t="s">
        <v>25</v>
      </c>
      <c r="P7" s="8">
        <f>P5+VALUE(REPLACE(O7,1,6,""))</f>
        <v>35</v>
      </c>
      <c r="Q7" s="7" t="s">
        <v>27</v>
      </c>
      <c r="R7" s="8">
        <f>R5+VALUE(REPLACE(Q7,1,6,""))</f>
        <v>7</v>
      </c>
      <c r="S7" s="7" t="s">
        <v>5</v>
      </c>
      <c r="T7" s="8">
        <f>T5+VALUE(REPLACE(S7,1,6,""))</f>
        <v>34</v>
      </c>
      <c r="U7" s="7" t="s">
        <v>30</v>
      </c>
      <c r="V7" s="8">
        <f>V5+VALUE(REPLACE(U7,1,6,""))</f>
        <v>16</v>
      </c>
      <c r="W7" s="7" t="s">
        <v>32</v>
      </c>
      <c r="X7" s="8">
        <f>X5+VALUE(REPLACE(W7,1,6,""))</f>
        <v>7</v>
      </c>
      <c r="Y7" s="7" t="s">
        <v>33</v>
      </c>
      <c r="Z7" s="8">
        <f>Z5+VALUE(REPLACE(Y7,1,6,""))</f>
        <v>8</v>
      </c>
      <c r="AA7" s="7" t="s">
        <v>34</v>
      </c>
      <c r="AB7" s="8">
        <f>AB5+VALUE(REPLACE(AA7,1,6,""))</f>
        <v>13</v>
      </c>
      <c r="AC7" s="7" t="s">
        <v>35</v>
      </c>
      <c r="AD7" s="8">
        <f>AD5+VALUE(REPLACE(AC7,1,6,""))</f>
        <v>6</v>
      </c>
    </row>
    <row r="8" spans="1:30" x14ac:dyDescent="0.2">
      <c r="A8" s="31" t="s">
        <v>57</v>
      </c>
      <c r="B8" s="14"/>
      <c r="C8" s="9" t="s">
        <v>6</v>
      </c>
      <c r="D8" s="27">
        <f>IF(D7=D2,0,1)</f>
        <v>1</v>
      </c>
      <c r="E8" s="9" t="s">
        <v>6</v>
      </c>
      <c r="F8" s="27">
        <f>IF(F7=F2,0,1)</f>
        <v>1</v>
      </c>
      <c r="G8" s="9" t="s">
        <v>6</v>
      </c>
      <c r="H8" s="27">
        <f>IF(H7=H2,0,1)</f>
        <v>1</v>
      </c>
      <c r="I8" s="9" t="s">
        <v>6</v>
      </c>
      <c r="J8" s="27">
        <f>IF(J7=J2,0,1)</f>
        <v>1</v>
      </c>
      <c r="K8" s="9" t="s">
        <v>6</v>
      </c>
      <c r="L8" s="28">
        <f>IF(L7=L2,0,1)</f>
        <v>1</v>
      </c>
      <c r="M8" s="9" t="s">
        <v>6</v>
      </c>
      <c r="N8" s="27">
        <f>IF(N7=N2,0,1)</f>
        <v>1</v>
      </c>
      <c r="O8" s="9" t="s">
        <v>6</v>
      </c>
      <c r="P8" s="27">
        <f>IF(P7=P2,0,1)</f>
        <v>1</v>
      </c>
      <c r="Q8" s="9" t="s">
        <v>6</v>
      </c>
      <c r="R8" s="28">
        <f>IF(R7=R2,0,1)</f>
        <v>1</v>
      </c>
      <c r="S8" s="9" t="s">
        <v>6</v>
      </c>
      <c r="T8" s="27">
        <f>IF(T7=T2,0,1)</f>
        <v>1</v>
      </c>
      <c r="U8" s="9" t="s">
        <v>6</v>
      </c>
      <c r="V8" s="28">
        <f>IF(V7=V2,0,1)</f>
        <v>1</v>
      </c>
      <c r="W8" s="9" t="s">
        <v>6</v>
      </c>
      <c r="X8" s="28">
        <f>IF(X7=X2,0,1)</f>
        <v>1</v>
      </c>
      <c r="Y8" s="9" t="s">
        <v>6</v>
      </c>
      <c r="Z8" s="28">
        <f>IF(Z7=Z2,0,1)</f>
        <v>1</v>
      </c>
      <c r="AA8" s="9" t="s">
        <v>6</v>
      </c>
      <c r="AB8" s="28">
        <f>IF(AB7=AB2,0,1)</f>
        <v>1</v>
      </c>
      <c r="AC8" s="9" t="s">
        <v>6</v>
      </c>
      <c r="AD8" s="28">
        <f>IF(AD7=AD2,0,1)</f>
        <v>1</v>
      </c>
    </row>
    <row r="9" spans="1:30" s="2" customFormat="1" x14ac:dyDescent="0.2">
      <c r="A9" s="31"/>
      <c r="B9" s="14"/>
      <c r="C9" s="9" t="s">
        <v>7</v>
      </c>
      <c r="D9" s="27"/>
      <c r="E9" s="9" t="s">
        <v>7</v>
      </c>
      <c r="F9" s="27"/>
      <c r="G9" s="9" t="s">
        <v>7</v>
      </c>
      <c r="H9" s="27"/>
      <c r="I9" s="9" t="s">
        <v>7</v>
      </c>
      <c r="J9" s="27"/>
      <c r="K9" s="9" t="s">
        <v>7</v>
      </c>
      <c r="L9" s="28"/>
      <c r="M9" s="9" t="s">
        <v>7</v>
      </c>
      <c r="N9" s="27"/>
      <c r="O9" s="9" t="s">
        <v>7</v>
      </c>
      <c r="P9" s="27"/>
      <c r="Q9" s="9" t="s">
        <v>7</v>
      </c>
      <c r="R9" s="28"/>
      <c r="S9" s="9" t="s">
        <v>7</v>
      </c>
      <c r="T9" s="27"/>
      <c r="U9" s="9" t="s">
        <v>7</v>
      </c>
      <c r="V9" s="28"/>
      <c r="W9" s="9" t="s">
        <v>7</v>
      </c>
      <c r="X9" s="28"/>
      <c r="Y9" s="9" t="s">
        <v>7</v>
      </c>
      <c r="Z9" s="28"/>
      <c r="AA9" s="9" t="s">
        <v>7</v>
      </c>
      <c r="AB9" s="28"/>
      <c r="AC9" s="9" t="s">
        <v>7</v>
      </c>
      <c r="AD9" s="28"/>
    </row>
    <row r="10" spans="1:30" s="2" customFormat="1" x14ac:dyDescent="0.2">
      <c r="A10" s="30" t="s">
        <v>58</v>
      </c>
      <c r="B10" s="13"/>
      <c r="C10" s="7" t="s">
        <v>8</v>
      </c>
      <c r="D10" s="27">
        <v>25</v>
      </c>
      <c r="E10" s="7" t="s">
        <v>8</v>
      </c>
      <c r="F10" s="27">
        <v>25</v>
      </c>
      <c r="G10" s="7" t="s">
        <v>8</v>
      </c>
      <c r="H10" s="27">
        <v>25</v>
      </c>
      <c r="I10" s="7" t="s">
        <v>8</v>
      </c>
      <c r="J10" s="27">
        <v>25</v>
      </c>
      <c r="K10" s="7" t="s">
        <v>8</v>
      </c>
      <c r="L10" s="27">
        <v>25</v>
      </c>
      <c r="M10" s="7" t="s">
        <v>8</v>
      </c>
      <c r="N10" s="27">
        <v>25</v>
      </c>
      <c r="O10" s="7" t="s">
        <v>8</v>
      </c>
      <c r="P10" s="27">
        <v>25</v>
      </c>
      <c r="Q10" s="7" t="s">
        <v>8</v>
      </c>
      <c r="R10" s="27">
        <v>25</v>
      </c>
      <c r="S10" s="7" t="s">
        <v>8</v>
      </c>
      <c r="T10" s="27">
        <v>25</v>
      </c>
      <c r="U10" s="7" t="s">
        <v>8</v>
      </c>
      <c r="V10" s="27">
        <v>25</v>
      </c>
      <c r="W10" s="7" t="s">
        <v>8</v>
      </c>
      <c r="X10" s="27">
        <v>25</v>
      </c>
      <c r="Y10" s="7" t="s">
        <v>8</v>
      </c>
      <c r="Z10" s="27">
        <v>25</v>
      </c>
      <c r="AA10" s="7" t="s">
        <v>8</v>
      </c>
      <c r="AB10" s="27">
        <v>25</v>
      </c>
      <c r="AC10" s="7" t="s">
        <v>8</v>
      </c>
      <c r="AD10" s="27">
        <v>25</v>
      </c>
    </row>
    <row r="11" spans="1:30" s="2" customFormat="1" x14ac:dyDescent="0.2">
      <c r="A11" s="30"/>
      <c r="B11" s="13"/>
      <c r="C11" s="7" t="s">
        <v>9</v>
      </c>
      <c r="D11" s="27"/>
      <c r="E11" s="7" t="s">
        <v>9</v>
      </c>
      <c r="F11" s="27"/>
      <c r="G11" s="7" t="s">
        <v>9</v>
      </c>
      <c r="H11" s="27"/>
      <c r="I11" s="7" t="s">
        <v>9</v>
      </c>
      <c r="J11" s="27"/>
      <c r="K11" s="7" t="s">
        <v>9</v>
      </c>
      <c r="L11" s="27"/>
      <c r="M11" s="7" t="s">
        <v>9</v>
      </c>
      <c r="N11" s="27"/>
      <c r="O11" s="7" t="s">
        <v>9</v>
      </c>
      <c r="P11" s="27"/>
      <c r="Q11" s="7" t="s">
        <v>9</v>
      </c>
      <c r="R11" s="27"/>
      <c r="S11" s="7" t="s">
        <v>9</v>
      </c>
      <c r="T11" s="27"/>
      <c r="U11" s="7" t="s">
        <v>9</v>
      </c>
      <c r="V11" s="27"/>
      <c r="W11" s="7" t="s">
        <v>9</v>
      </c>
      <c r="X11" s="27"/>
      <c r="Y11" s="7" t="s">
        <v>9</v>
      </c>
      <c r="Z11" s="27"/>
      <c r="AA11" s="7" t="s">
        <v>9</v>
      </c>
      <c r="AB11" s="27"/>
      <c r="AC11" s="7" t="s">
        <v>9</v>
      </c>
      <c r="AD11" s="27"/>
    </row>
    <row r="12" spans="1:30" x14ac:dyDescent="0.2">
      <c r="A12" s="5" t="s">
        <v>59</v>
      </c>
      <c r="B12" s="5"/>
      <c r="C12" s="7" t="s">
        <v>10</v>
      </c>
      <c r="D12" s="8">
        <f>D10*D8</f>
        <v>25</v>
      </c>
      <c r="E12" s="7" t="s">
        <v>10</v>
      </c>
      <c r="F12" s="8">
        <f>F10*F8</f>
        <v>25</v>
      </c>
      <c r="G12" s="7" t="s">
        <v>10</v>
      </c>
      <c r="H12" s="8">
        <f>H10*H8</f>
        <v>25</v>
      </c>
      <c r="I12" s="7" t="s">
        <v>10</v>
      </c>
      <c r="J12" s="8">
        <f>J10*J8</f>
        <v>25</v>
      </c>
      <c r="K12" s="7" t="s">
        <v>10</v>
      </c>
      <c r="L12" s="8">
        <f>L10*L8</f>
        <v>25</v>
      </c>
      <c r="M12" s="7" t="s">
        <v>10</v>
      </c>
      <c r="N12" s="8">
        <f>N10*N8</f>
        <v>25</v>
      </c>
      <c r="O12" s="7" t="s">
        <v>10</v>
      </c>
      <c r="P12" s="8">
        <f>P10*P8</f>
        <v>25</v>
      </c>
      <c r="Q12" s="7" t="s">
        <v>10</v>
      </c>
      <c r="R12" s="8">
        <f>R10*R8</f>
        <v>25</v>
      </c>
      <c r="S12" s="7" t="s">
        <v>10</v>
      </c>
      <c r="T12" s="8">
        <f>T10*T8</f>
        <v>25</v>
      </c>
      <c r="U12" s="7" t="s">
        <v>10</v>
      </c>
      <c r="V12" s="8">
        <f>V10*V8</f>
        <v>25</v>
      </c>
      <c r="W12" s="7" t="s">
        <v>10</v>
      </c>
      <c r="X12" s="8">
        <f>X10*X8</f>
        <v>25</v>
      </c>
      <c r="Y12" s="7" t="s">
        <v>10</v>
      </c>
      <c r="Z12" s="8">
        <f>Z10*Z8</f>
        <v>25</v>
      </c>
      <c r="AA12" s="7" t="s">
        <v>10</v>
      </c>
      <c r="AB12" s="8">
        <f>AB10*AB8</f>
        <v>25</v>
      </c>
      <c r="AC12" s="7" t="s">
        <v>10</v>
      </c>
      <c r="AD12" s="8">
        <f>AD10*AD8</f>
        <v>25</v>
      </c>
    </row>
    <row r="13" spans="1:30" x14ac:dyDescent="0.2">
      <c r="A13" s="4" t="s">
        <v>60</v>
      </c>
      <c r="B13" s="4"/>
      <c r="C13" s="9" t="s">
        <v>11</v>
      </c>
      <c r="D13" s="8">
        <f>D12+1</f>
        <v>26</v>
      </c>
      <c r="E13" s="9" t="s">
        <v>11</v>
      </c>
      <c r="F13" s="8">
        <f>F12+1</f>
        <v>26</v>
      </c>
      <c r="G13" s="9" t="s">
        <v>11</v>
      </c>
      <c r="H13" s="8">
        <f>H12+1</f>
        <v>26</v>
      </c>
      <c r="I13" s="9" t="s">
        <v>11</v>
      </c>
      <c r="J13" s="8">
        <f>J12+1</f>
        <v>26</v>
      </c>
      <c r="K13" s="9" t="s">
        <v>11</v>
      </c>
      <c r="L13" s="8">
        <f>L12+1</f>
        <v>26</v>
      </c>
      <c r="M13" s="9" t="s">
        <v>11</v>
      </c>
      <c r="N13" s="8">
        <f>N12+1</f>
        <v>26</v>
      </c>
      <c r="O13" s="9" t="s">
        <v>11</v>
      </c>
      <c r="P13" s="8">
        <f>P12+1</f>
        <v>26</v>
      </c>
      <c r="Q13" s="9" t="s">
        <v>11</v>
      </c>
      <c r="R13" s="8">
        <f>R12+1</f>
        <v>26</v>
      </c>
      <c r="S13" s="9" t="s">
        <v>11</v>
      </c>
      <c r="T13" s="8">
        <f>T12+1</f>
        <v>26</v>
      </c>
      <c r="U13" s="9" t="s">
        <v>11</v>
      </c>
      <c r="V13" s="8">
        <f>V12+1</f>
        <v>26</v>
      </c>
      <c r="W13" s="9" t="s">
        <v>11</v>
      </c>
      <c r="X13" s="8">
        <f>X12+1</f>
        <v>26</v>
      </c>
      <c r="Y13" s="9" t="s">
        <v>11</v>
      </c>
      <c r="Z13" s="8">
        <f>Z12+1</f>
        <v>26</v>
      </c>
      <c r="AA13" s="9" t="s">
        <v>11</v>
      </c>
      <c r="AB13" s="8">
        <f>AB12+1</f>
        <v>26</v>
      </c>
      <c r="AC13" s="9" t="s">
        <v>11</v>
      </c>
      <c r="AD13" s="8">
        <f>AD12+1</f>
        <v>26</v>
      </c>
    </row>
    <row r="14" spans="1:30" s="2" customFormat="1" x14ac:dyDescent="0.2">
      <c r="A14" s="3" t="s">
        <v>61</v>
      </c>
      <c r="B14" s="3"/>
      <c r="C14" s="9" t="s">
        <v>12</v>
      </c>
      <c r="D14" s="8">
        <f>D13*D6</f>
        <v>0</v>
      </c>
      <c r="E14" s="9" t="s">
        <v>12</v>
      </c>
      <c r="F14" s="8">
        <f>F13*F6</f>
        <v>416</v>
      </c>
      <c r="G14" s="9" t="s">
        <v>12</v>
      </c>
      <c r="H14" s="8">
        <f>H13*H6</f>
        <v>11258</v>
      </c>
      <c r="I14" s="9" t="s">
        <v>12</v>
      </c>
      <c r="J14" s="8">
        <f>J13*J6</f>
        <v>292994</v>
      </c>
      <c r="K14" s="9" t="s">
        <v>12</v>
      </c>
      <c r="L14" s="8">
        <f>L13*L6</f>
        <v>292994</v>
      </c>
      <c r="M14" s="9" t="s">
        <v>12</v>
      </c>
      <c r="N14" s="8">
        <f>N13*N6</f>
        <v>7618234</v>
      </c>
      <c r="O14" s="9" t="s">
        <v>12</v>
      </c>
      <c r="P14" s="8">
        <f>P13*P6</f>
        <v>198074630</v>
      </c>
      <c r="Q14" s="9" t="s">
        <v>12</v>
      </c>
      <c r="R14" s="8">
        <f>R13*R6</f>
        <v>198074630</v>
      </c>
      <c r="S14" s="9" t="s">
        <v>12</v>
      </c>
      <c r="T14" s="8">
        <f>T13*T6</f>
        <v>5149940952</v>
      </c>
      <c r="U14" s="9" t="s">
        <v>12</v>
      </c>
      <c r="V14" s="8">
        <f>V13*V6</f>
        <v>5149940952</v>
      </c>
      <c r="W14" s="9" t="s">
        <v>12</v>
      </c>
      <c r="X14" s="8">
        <f>X13*X6</f>
        <v>5149940952</v>
      </c>
      <c r="Y14" s="9" t="s">
        <v>12</v>
      </c>
      <c r="Z14" s="8">
        <f>Z13*Z6</f>
        <v>5149940952</v>
      </c>
      <c r="AA14" s="9" t="s">
        <v>12</v>
      </c>
      <c r="AB14" s="8">
        <f>AB13*AB6</f>
        <v>5149940952</v>
      </c>
      <c r="AC14" s="9" t="s">
        <v>12</v>
      </c>
      <c r="AD14" s="8">
        <f>AD13*AD6</f>
        <v>5149940952</v>
      </c>
    </row>
    <row r="15" spans="1:30" x14ac:dyDescent="0.2">
      <c r="A15" s="32" t="s">
        <v>62</v>
      </c>
      <c r="B15" s="5"/>
      <c r="C15" s="7" t="s">
        <v>8</v>
      </c>
      <c r="D15" s="29">
        <f>D2</f>
        <v>9</v>
      </c>
      <c r="E15" s="7" t="s">
        <v>8</v>
      </c>
      <c r="F15" s="29">
        <f>F2</f>
        <v>9</v>
      </c>
      <c r="G15" s="7" t="s">
        <v>8</v>
      </c>
      <c r="H15" s="29">
        <f>H2</f>
        <v>9</v>
      </c>
      <c r="I15" s="7" t="s">
        <v>8</v>
      </c>
      <c r="J15" s="29">
        <f>J2</f>
        <v>9</v>
      </c>
      <c r="K15" s="7" t="s">
        <v>8</v>
      </c>
      <c r="L15" s="29">
        <f>L2</f>
        <v>9</v>
      </c>
      <c r="M15" s="7" t="s">
        <v>8</v>
      </c>
      <c r="N15" s="29">
        <f>N2</f>
        <v>9</v>
      </c>
      <c r="O15" s="7" t="s">
        <v>8</v>
      </c>
      <c r="P15" s="29">
        <f>P2</f>
        <v>9</v>
      </c>
      <c r="Q15" s="7" t="s">
        <v>8</v>
      </c>
      <c r="R15" s="29">
        <f>R2</f>
        <v>9</v>
      </c>
      <c r="S15" s="7" t="s">
        <v>8</v>
      </c>
      <c r="T15" s="29">
        <f>T2</f>
        <v>9</v>
      </c>
      <c r="U15" s="7" t="s">
        <v>8</v>
      </c>
      <c r="V15" s="29">
        <f>V2</f>
        <v>9</v>
      </c>
      <c r="W15" s="7" t="s">
        <v>8</v>
      </c>
      <c r="X15" s="29">
        <f>X2</f>
        <v>9</v>
      </c>
      <c r="Y15" s="7" t="s">
        <v>8</v>
      </c>
      <c r="Z15" s="29">
        <f>Z2</f>
        <v>9</v>
      </c>
      <c r="AA15" s="7" t="s">
        <v>8</v>
      </c>
      <c r="AB15" s="29">
        <f>AB2</f>
        <v>9</v>
      </c>
      <c r="AC15" s="7" t="s">
        <v>8</v>
      </c>
      <c r="AD15" s="29">
        <f>AD2</f>
        <v>9</v>
      </c>
    </row>
    <row r="16" spans="1:30" s="1" customFormat="1" x14ac:dyDescent="0.2">
      <c r="A16" s="32"/>
      <c r="B16" s="5"/>
      <c r="C16" s="9" t="s">
        <v>13</v>
      </c>
      <c r="D16" s="29"/>
      <c r="E16" s="9" t="s">
        <v>13</v>
      </c>
      <c r="F16" s="29"/>
      <c r="G16" s="9" t="s">
        <v>13</v>
      </c>
      <c r="H16" s="29"/>
      <c r="I16" s="9" t="s">
        <v>13</v>
      </c>
      <c r="J16" s="29"/>
      <c r="K16" s="9" t="s">
        <v>13</v>
      </c>
      <c r="L16" s="29"/>
      <c r="M16" s="9" t="s">
        <v>13</v>
      </c>
      <c r="N16" s="29"/>
      <c r="O16" s="9" t="s">
        <v>13</v>
      </c>
      <c r="P16" s="29"/>
      <c r="Q16" s="9" t="s">
        <v>13</v>
      </c>
      <c r="R16" s="29"/>
      <c r="S16" s="9" t="s">
        <v>13</v>
      </c>
      <c r="T16" s="29"/>
      <c r="U16" s="9" t="s">
        <v>13</v>
      </c>
      <c r="V16" s="29"/>
      <c r="W16" s="9" t="s">
        <v>13</v>
      </c>
      <c r="X16" s="29"/>
      <c r="Y16" s="9" t="s">
        <v>13</v>
      </c>
      <c r="Z16" s="29"/>
      <c r="AA16" s="9" t="s">
        <v>13</v>
      </c>
      <c r="AB16" s="29"/>
      <c r="AC16" s="9" t="s">
        <v>13</v>
      </c>
      <c r="AD16" s="29"/>
    </row>
    <row r="17" spans="1:31" s="2" customFormat="1" x14ac:dyDescent="0.2">
      <c r="A17" s="3" t="s">
        <v>63</v>
      </c>
      <c r="B17" s="3"/>
      <c r="C17" s="7" t="s">
        <v>14</v>
      </c>
      <c r="D17" s="8">
        <f>D15+VALUE(REPLACE(C17,1,6,""))</f>
        <v>16</v>
      </c>
      <c r="E17" s="7" t="s">
        <v>16</v>
      </c>
      <c r="F17" s="8">
        <f>F15+VALUE(REPLACE(E17,1,6,""))</f>
        <v>17</v>
      </c>
      <c r="G17" s="7" t="s">
        <v>18</v>
      </c>
      <c r="H17" s="8">
        <f>H15+VALUE(REPLACE(G17,1,6,""))</f>
        <v>11</v>
      </c>
      <c r="I17" s="7" t="s">
        <v>19</v>
      </c>
      <c r="J17" s="8">
        <f>J15+VALUE(REPLACE(I17,1,6,""))</f>
        <v>20</v>
      </c>
      <c r="K17" s="7" t="s">
        <v>22</v>
      </c>
      <c r="L17" s="8">
        <f>L15+VALUE(REPLACE(K17,1,6,""))</f>
        <v>15</v>
      </c>
      <c r="M17" s="7" t="s">
        <v>24</v>
      </c>
      <c r="N17" s="8">
        <f>N15+VALUE(REPLACE(M17,1,6,""))</f>
        <v>21</v>
      </c>
      <c r="O17" s="7" t="s">
        <v>26</v>
      </c>
      <c r="P17" s="8">
        <f>P15+VALUE(REPLACE(O17,1,6,""))</f>
        <v>23</v>
      </c>
      <c r="Q17" s="7" t="s">
        <v>28</v>
      </c>
      <c r="R17" s="8">
        <f>R15+VALUE(REPLACE(Q17,1,6,""))</f>
        <v>22</v>
      </c>
      <c r="S17" s="7" t="s">
        <v>29</v>
      </c>
      <c r="T17" s="8">
        <f>T15+VALUE(REPLACE(S17,1,6,""))</f>
        <v>24</v>
      </c>
      <c r="U17" s="7" t="s">
        <v>31</v>
      </c>
      <c r="V17" s="8">
        <f>V15+VALUE(REPLACE(U17,1,6,""))</f>
        <v>19</v>
      </c>
      <c r="W17" s="7" t="s">
        <v>22</v>
      </c>
      <c r="X17" s="8">
        <f>X15+VALUE(REPLACE(W17,1,6,""))</f>
        <v>15</v>
      </c>
      <c r="Y17" s="7" t="s">
        <v>31</v>
      </c>
      <c r="Z17" s="8">
        <f>Z15+VALUE(REPLACE(Y17,1,6,""))</f>
        <v>19</v>
      </c>
      <c r="AA17" s="7" t="s">
        <v>16</v>
      </c>
      <c r="AB17" s="8">
        <f>AB15+VALUE(REPLACE(AA17,1,6,""))</f>
        <v>17</v>
      </c>
      <c r="AC17" s="7" t="s">
        <v>36</v>
      </c>
      <c r="AD17" s="8">
        <f>AD15+VALUE(REPLACE(AC17,1,6,""))</f>
        <v>14</v>
      </c>
    </row>
    <row r="18" spans="1:31" x14ac:dyDescent="0.2">
      <c r="A18" s="3" t="s">
        <v>64</v>
      </c>
      <c r="B18" s="3"/>
      <c r="C18" s="9" t="s">
        <v>10</v>
      </c>
      <c r="D18" s="8">
        <f>D17*D8</f>
        <v>16</v>
      </c>
      <c r="E18" s="9" t="s">
        <v>10</v>
      </c>
      <c r="F18" s="8">
        <f>F17*F8</f>
        <v>17</v>
      </c>
      <c r="G18" s="9" t="s">
        <v>10</v>
      </c>
      <c r="H18" s="8">
        <f>H17*H8</f>
        <v>11</v>
      </c>
      <c r="I18" s="9" t="s">
        <v>10</v>
      </c>
      <c r="J18" s="8">
        <f>J17*J8</f>
        <v>20</v>
      </c>
      <c r="K18" s="9" t="s">
        <v>10</v>
      </c>
      <c r="L18" s="8">
        <f>L17*L8</f>
        <v>15</v>
      </c>
      <c r="M18" s="9" t="s">
        <v>10</v>
      </c>
      <c r="N18" s="8">
        <f>N17*N8</f>
        <v>21</v>
      </c>
      <c r="O18" s="9" t="s">
        <v>10</v>
      </c>
      <c r="P18" s="8">
        <f>P17*P8</f>
        <v>23</v>
      </c>
      <c r="Q18" s="9" t="s">
        <v>10</v>
      </c>
      <c r="R18" s="8">
        <f>R17*R8</f>
        <v>22</v>
      </c>
      <c r="S18" s="9" t="s">
        <v>10</v>
      </c>
      <c r="T18" s="8">
        <f>T17*T8</f>
        <v>24</v>
      </c>
      <c r="U18" s="9" t="s">
        <v>10</v>
      </c>
      <c r="V18" s="8">
        <f>V17*V8</f>
        <v>19</v>
      </c>
      <c r="W18" s="9" t="s">
        <v>10</v>
      </c>
      <c r="X18" s="8">
        <f>X17*X8</f>
        <v>15</v>
      </c>
      <c r="Y18" s="9" t="s">
        <v>10</v>
      </c>
      <c r="Z18" s="8">
        <f>Z17*Z8</f>
        <v>19</v>
      </c>
      <c r="AA18" s="9" t="s">
        <v>10</v>
      </c>
      <c r="AB18" s="8">
        <f>AB17*AB8</f>
        <v>17</v>
      </c>
      <c r="AC18" s="9" t="s">
        <v>10</v>
      </c>
      <c r="AD18" s="8">
        <f>AD17*AD8</f>
        <v>14</v>
      </c>
    </row>
    <row r="19" spans="1:31" ht="17" thickBot="1" x14ac:dyDescent="0.25">
      <c r="A19" s="3" t="s">
        <v>65</v>
      </c>
      <c r="B19" s="3"/>
      <c r="C19" s="11" t="s">
        <v>15</v>
      </c>
      <c r="D19" s="12">
        <f>D14+D18</f>
        <v>16</v>
      </c>
      <c r="E19" s="11" t="s">
        <v>15</v>
      </c>
      <c r="F19" s="12">
        <f>F14+F18</f>
        <v>433</v>
      </c>
      <c r="G19" s="11" t="s">
        <v>15</v>
      </c>
      <c r="H19" s="12">
        <f>H14+H18</f>
        <v>11269</v>
      </c>
      <c r="I19" s="11" t="s">
        <v>15</v>
      </c>
      <c r="J19" s="12">
        <f>J14+J18</f>
        <v>293014</v>
      </c>
      <c r="K19" s="11" t="s">
        <v>15</v>
      </c>
      <c r="L19" s="12">
        <f>L14+L18</f>
        <v>293009</v>
      </c>
      <c r="M19" s="11" t="s">
        <v>15</v>
      </c>
      <c r="N19" s="12">
        <f>N14+N18</f>
        <v>7618255</v>
      </c>
      <c r="O19" s="11" t="s">
        <v>15</v>
      </c>
      <c r="P19" s="12">
        <f>P14+P18</f>
        <v>198074653</v>
      </c>
      <c r="Q19" s="11" t="s">
        <v>15</v>
      </c>
      <c r="R19" s="12">
        <f>R14+R18</f>
        <v>198074652</v>
      </c>
      <c r="S19" s="11" t="s">
        <v>15</v>
      </c>
      <c r="T19" s="12">
        <f>T14+T18</f>
        <v>5149940976</v>
      </c>
      <c r="U19" s="11" t="s">
        <v>15</v>
      </c>
      <c r="V19" s="12">
        <f>V14+V18</f>
        <v>5149940971</v>
      </c>
      <c r="W19" s="11" t="s">
        <v>15</v>
      </c>
      <c r="X19" s="12">
        <f>X14+X18</f>
        <v>5149940967</v>
      </c>
      <c r="Y19" s="11" t="s">
        <v>15</v>
      </c>
      <c r="Z19" s="12">
        <f>Z14+Z18</f>
        <v>5149940971</v>
      </c>
      <c r="AA19" s="11" t="s">
        <v>15</v>
      </c>
      <c r="AB19" s="12">
        <f>AB14+AB18</f>
        <v>5149940969</v>
      </c>
      <c r="AC19" s="11" t="s">
        <v>15</v>
      </c>
      <c r="AD19" s="19">
        <f>AD14+AD18</f>
        <v>5149940966</v>
      </c>
    </row>
    <row r="20" spans="1:31" x14ac:dyDescent="0.2">
      <c r="Y20" s="10"/>
      <c r="Z20" s="10"/>
      <c r="AC20" s="10"/>
    </row>
    <row r="21" spans="1:31" x14ac:dyDescent="0.2">
      <c r="Y21" s="10"/>
      <c r="Z21" s="10"/>
    </row>
    <row r="22" spans="1:31" x14ac:dyDescent="0.2">
      <c r="C22" s="2"/>
      <c r="D22" s="1"/>
      <c r="E22" s="2"/>
      <c r="F22" s="1"/>
      <c r="G22" s="2"/>
      <c r="H22" s="1"/>
      <c r="I22" s="2"/>
      <c r="J22" s="1"/>
      <c r="K22" s="2"/>
      <c r="L22" s="1"/>
      <c r="M22" s="2"/>
      <c r="N22" s="1"/>
      <c r="O22" s="2"/>
      <c r="P22" s="1"/>
      <c r="Q22" s="2"/>
      <c r="R22" s="1"/>
      <c r="S22" s="2"/>
      <c r="T22" s="1">
        <v>2</v>
      </c>
      <c r="U22" s="2"/>
      <c r="V22" s="1"/>
      <c r="W22" s="2"/>
      <c r="X22" s="1"/>
      <c r="Y22" s="2"/>
      <c r="Z22" s="1"/>
      <c r="AA22" s="2"/>
      <c r="AB22" s="1"/>
      <c r="AC22" s="2"/>
      <c r="AD22" s="1"/>
      <c r="AE22" s="2"/>
    </row>
    <row r="23" spans="1:31" x14ac:dyDescent="0.2">
      <c r="Y23" s="10"/>
      <c r="Z23" s="10"/>
      <c r="AA23" s="10"/>
      <c r="AB23" s="10"/>
      <c r="AC23" s="10"/>
    </row>
    <row r="24" spans="1:31" x14ac:dyDescent="0.2">
      <c r="A24" s="1" t="s">
        <v>68</v>
      </c>
      <c r="C24" s="2"/>
      <c r="D24" s="1"/>
      <c r="E24" s="2"/>
      <c r="F24" s="1"/>
      <c r="G24" s="2"/>
      <c r="H24" s="1"/>
      <c r="I24" s="2"/>
      <c r="J24" s="1"/>
      <c r="K24" s="2"/>
      <c r="L24" s="1"/>
      <c r="M24" s="2"/>
      <c r="N24" s="1"/>
      <c r="O24" s="2"/>
      <c r="P24" s="1"/>
      <c r="Q24" s="2"/>
      <c r="R24" s="1"/>
      <c r="S24" s="2"/>
      <c r="T24" s="1"/>
      <c r="U24" s="2"/>
      <c r="V24" s="1"/>
      <c r="W24" s="2"/>
      <c r="X24" s="1"/>
      <c r="Y24" s="2"/>
      <c r="Z24" s="1"/>
      <c r="AA24" s="2"/>
      <c r="AB24" s="1"/>
      <c r="AC24" s="2"/>
      <c r="AD24" s="1"/>
      <c r="AE24" s="2"/>
    </row>
    <row r="25" spans="1:31" x14ac:dyDescent="0.2">
      <c r="A25" t="s">
        <v>71</v>
      </c>
      <c r="K25" s="6"/>
      <c r="L25" s="6"/>
      <c r="Y25" s="10"/>
      <c r="Z25" s="10"/>
      <c r="AA25" s="10"/>
      <c r="AB25" s="10"/>
      <c r="AC25" s="10"/>
    </row>
    <row r="26" spans="1:31" x14ac:dyDescent="0.2">
      <c r="A26" t="s">
        <v>72</v>
      </c>
      <c r="C26" s="2"/>
      <c r="D26" s="1"/>
      <c r="E26" s="2"/>
      <c r="F26" s="1"/>
      <c r="G26" s="2"/>
      <c r="H26" s="1"/>
      <c r="I26" s="2"/>
      <c r="J26" s="1"/>
      <c r="K26" s="2"/>
      <c r="L26" s="1"/>
      <c r="M26" s="2"/>
      <c r="N26" s="1"/>
      <c r="O26" s="2"/>
      <c r="P26" s="1"/>
      <c r="Q26" s="2"/>
      <c r="R26" s="1"/>
      <c r="S26" s="2"/>
      <c r="T26" s="1"/>
      <c r="U26" s="2"/>
      <c r="V26" s="1"/>
      <c r="W26" s="2"/>
      <c r="X26" s="1"/>
      <c r="Y26" s="2"/>
      <c r="Z26" s="1"/>
      <c r="AA26" s="2"/>
      <c r="AB26" s="1"/>
      <c r="AC26" s="2"/>
      <c r="AD26" s="1"/>
      <c r="AE26" s="2"/>
    </row>
    <row r="27" spans="1:31" x14ac:dyDescent="0.2">
      <c r="A27" t="s">
        <v>73</v>
      </c>
      <c r="K27" s="2"/>
      <c r="L27" s="2"/>
      <c r="U27" s="1"/>
      <c r="V27" s="1"/>
      <c r="Y27" s="10"/>
      <c r="Z27" s="10"/>
      <c r="AA27" s="10"/>
      <c r="AB27" s="10"/>
      <c r="AC27" s="10"/>
    </row>
    <row r="28" spans="1:31" x14ac:dyDescent="0.2">
      <c r="A28" t="s">
        <v>74</v>
      </c>
      <c r="C28" s="2"/>
      <c r="D28" s="1"/>
      <c r="E28" s="2"/>
      <c r="F28" s="1"/>
      <c r="G28" s="2"/>
      <c r="H28" s="1"/>
      <c r="I28" s="2"/>
      <c r="J28" s="1"/>
      <c r="K28" s="2"/>
      <c r="L28" s="1"/>
      <c r="M28" s="2"/>
      <c r="N28" s="1"/>
      <c r="O28" s="2"/>
      <c r="P28" s="1"/>
      <c r="Q28" s="2"/>
      <c r="R28" s="1"/>
      <c r="S28" s="2"/>
      <c r="T28" s="1"/>
      <c r="U28" s="2"/>
      <c r="V28" s="1"/>
      <c r="W28" s="2"/>
      <c r="X28" s="1"/>
      <c r="Y28" s="2"/>
      <c r="Z28" s="1"/>
      <c r="AA28" s="2"/>
      <c r="AB28" s="1"/>
      <c r="AC28" s="2"/>
      <c r="AD28" s="1"/>
      <c r="AE28" s="2"/>
    </row>
    <row r="29" spans="1:31" x14ac:dyDescent="0.2">
      <c r="A29" t="s">
        <v>75</v>
      </c>
      <c r="H29" s="1"/>
      <c r="I29" s="1"/>
    </row>
    <row r="31" spans="1:31" x14ac:dyDescent="0.2">
      <c r="J31" s="2"/>
      <c r="K31" s="2"/>
      <c r="R31" s="2"/>
      <c r="S31" s="2"/>
      <c r="Z31" s="2"/>
      <c r="AA31" s="2"/>
    </row>
    <row r="33" spans="1:30" x14ac:dyDescent="0.2">
      <c r="A33" s="1" t="s">
        <v>70</v>
      </c>
      <c r="B33" s="35"/>
      <c r="C33" s="33" t="s">
        <v>0</v>
      </c>
      <c r="D33" s="23">
        <v>9</v>
      </c>
      <c r="E33" s="24" t="s">
        <v>0</v>
      </c>
      <c r="F33" s="23">
        <v>7</v>
      </c>
      <c r="G33" s="24" t="s">
        <v>0</v>
      </c>
      <c r="H33" s="23">
        <v>9</v>
      </c>
      <c r="I33" s="24" t="s">
        <v>0</v>
      </c>
      <c r="J33" s="23">
        <v>1</v>
      </c>
      <c r="K33" s="24" t="s">
        <v>0</v>
      </c>
      <c r="L33" s="23">
        <v>9</v>
      </c>
      <c r="M33" s="24" t="s">
        <v>0</v>
      </c>
      <c r="N33" s="23">
        <v>9</v>
      </c>
      <c r="O33" s="24" t="s">
        <v>0</v>
      </c>
      <c r="P33" s="23">
        <v>9</v>
      </c>
      <c r="Q33" s="24" t="s">
        <v>0</v>
      </c>
      <c r="R33" s="23">
        <v>7</v>
      </c>
      <c r="S33" s="24" t="s">
        <v>0</v>
      </c>
      <c r="T33" s="23">
        <v>2</v>
      </c>
      <c r="U33" s="24" t="s">
        <v>0</v>
      </c>
      <c r="V33" s="23">
        <v>9</v>
      </c>
      <c r="W33" s="24" t="s">
        <v>0</v>
      </c>
      <c r="X33" s="23">
        <v>9</v>
      </c>
      <c r="Y33" s="24" t="s">
        <v>0</v>
      </c>
      <c r="Z33" s="23">
        <v>4</v>
      </c>
      <c r="AA33" s="24" t="s">
        <v>0</v>
      </c>
      <c r="AB33" s="23">
        <v>9</v>
      </c>
      <c r="AC33" s="24" t="s">
        <v>0</v>
      </c>
      <c r="AD33" s="23">
        <v>5</v>
      </c>
    </row>
    <row r="34" spans="1:30" x14ac:dyDescent="0.2">
      <c r="A34" s="1" t="s">
        <v>69</v>
      </c>
      <c r="B34" s="35"/>
      <c r="C34" s="34" t="s">
        <v>0</v>
      </c>
      <c r="D34" s="17">
        <v>5</v>
      </c>
      <c r="E34" s="7" t="s">
        <v>0</v>
      </c>
      <c r="F34" s="17">
        <v>1</v>
      </c>
      <c r="G34" s="7" t="s">
        <v>0</v>
      </c>
      <c r="H34" s="17">
        <v>6</v>
      </c>
      <c r="I34" s="7" t="s">
        <v>0</v>
      </c>
      <c r="J34" s="17">
        <v>1</v>
      </c>
      <c r="K34" s="7" t="s">
        <v>0</v>
      </c>
      <c r="L34" s="17">
        <v>9</v>
      </c>
      <c r="M34" s="7" t="s">
        <v>0</v>
      </c>
      <c r="N34" s="17">
        <v>1</v>
      </c>
      <c r="O34" s="7" t="s">
        <v>0</v>
      </c>
      <c r="P34" s="17">
        <v>3</v>
      </c>
      <c r="Q34" s="7" t="s">
        <v>0</v>
      </c>
      <c r="R34" s="17">
        <v>1</v>
      </c>
      <c r="S34" s="7" t="s">
        <v>0</v>
      </c>
      <c r="T34" s="17">
        <v>1</v>
      </c>
      <c r="U34" s="7" t="s">
        <v>0</v>
      </c>
      <c r="V34" s="17">
        <v>8</v>
      </c>
      <c r="W34" s="7" t="s">
        <v>0</v>
      </c>
      <c r="X34" s="17">
        <v>1</v>
      </c>
      <c r="Y34" s="7" t="s">
        <v>0</v>
      </c>
      <c r="Z34" s="17">
        <v>1</v>
      </c>
      <c r="AA34" s="7" t="s">
        <v>0</v>
      </c>
      <c r="AB34" s="17">
        <v>3</v>
      </c>
      <c r="AC34" s="7" t="s">
        <v>0</v>
      </c>
      <c r="AD34" s="17">
        <v>1</v>
      </c>
    </row>
    <row r="35" spans="1:30" x14ac:dyDescent="0.2">
      <c r="B35" s="10"/>
      <c r="C35" s="10"/>
      <c r="D35" s="10"/>
      <c r="E35" s="10"/>
      <c r="F35" s="10"/>
      <c r="G35" s="10"/>
      <c r="H35" s="10"/>
      <c r="K35" s="2"/>
      <c r="L35" s="2"/>
    </row>
    <row r="36" spans="1:30" x14ac:dyDescent="0.2">
      <c r="A36" s="10"/>
      <c r="B36" s="24"/>
      <c r="C36" s="10"/>
      <c r="D36" s="10"/>
      <c r="E36" s="10"/>
      <c r="F36" s="10"/>
      <c r="G36" s="10"/>
      <c r="H36" s="10"/>
    </row>
    <row r="37" spans="1:30" x14ac:dyDescent="0.2">
      <c r="A37" s="24"/>
      <c r="B37" s="24"/>
      <c r="C37" s="10"/>
      <c r="D37" s="10"/>
      <c r="E37" s="10"/>
      <c r="F37" s="10"/>
      <c r="G37" s="10"/>
      <c r="H37" s="10"/>
    </row>
    <row r="38" spans="1:30" x14ac:dyDescent="0.2">
      <c r="A38" s="24"/>
      <c r="K38" s="2"/>
      <c r="L38" s="2"/>
    </row>
    <row r="40" spans="1:30" x14ac:dyDescent="0.2">
      <c r="K40" s="1"/>
      <c r="L40" s="1"/>
    </row>
  </sheetData>
  <mergeCells count="60">
    <mergeCell ref="D3:D4"/>
    <mergeCell ref="D8:D9"/>
    <mergeCell ref="D10:D11"/>
    <mergeCell ref="D15:D16"/>
    <mergeCell ref="A3:A4"/>
    <mergeCell ref="A8:A9"/>
    <mergeCell ref="A10:A11"/>
    <mergeCell ref="A15:A16"/>
    <mergeCell ref="F3:F4"/>
    <mergeCell ref="F8:F9"/>
    <mergeCell ref="F10:F11"/>
    <mergeCell ref="F15:F16"/>
    <mergeCell ref="H3:H4"/>
    <mergeCell ref="H8:H9"/>
    <mergeCell ref="H10:H11"/>
    <mergeCell ref="H15:H16"/>
    <mergeCell ref="J3:J4"/>
    <mergeCell ref="J8:J9"/>
    <mergeCell ref="J10:J11"/>
    <mergeCell ref="J15:J16"/>
    <mergeCell ref="L3:L4"/>
    <mergeCell ref="L8:L9"/>
    <mergeCell ref="L10:L11"/>
    <mergeCell ref="L15:L16"/>
    <mergeCell ref="N3:N4"/>
    <mergeCell ref="N8:N9"/>
    <mergeCell ref="N10:N11"/>
    <mergeCell ref="N15:N16"/>
    <mergeCell ref="P3:P4"/>
    <mergeCell ref="P8:P9"/>
    <mergeCell ref="P10:P11"/>
    <mergeCell ref="P15:P16"/>
    <mergeCell ref="R3:R4"/>
    <mergeCell ref="R8:R9"/>
    <mergeCell ref="R10:R11"/>
    <mergeCell ref="R15:R16"/>
    <mergeCell ref="T3:T4"/>
    <mergeCell ref="T8:T9"/>
    <mergeCell ref="T10:T11"/>
    <mergeCell ref="T15:T16"/>
    <mergeCell ref="V3:V4"/>
    <mergeCell ref="V8:V9"/>
    <mergeCell ref="V10:V11"/>
    <mergeCell ref="V15:V16"/>
    <mergeCell ref="X3:X4"/>
    <mergeCell ref="X8:X9"/>
    <mergeCell ref="X10:X11"/>
    <mergeCell ref="X15:X16"/>
    <mergeCell ref="AD3:AD4"/>
    <mergeCell ref="AD8:AD9"/>
    <mergeCell ref="AD10:AD11"/>
    <mergeCell ref="AD15:AD16"/>
    <mergeCell ref="Z3:Z4"/>
    <mergeCell ref="Z8:Z9"/>
    <mergeCell ref="Z10:Z11"/>
    <mergeCell ref="Z15:Z16"/>
    <mergeCell ref="AB3:AB4"/>
    <mergeCell ref="AB8:AB9"/>
    <mergeCell ref="AB10:AB11"/>
    <mergeCell ref="AB15:AB16"/>
  </mergeCells>
  <pageMargins left="0.7" right="0.7" top="0.75" bottom="0.75" header="0.3" footer="0.3"/>
  <pageSetup paperSize="9" orientation="portrait" horizontalDpi="0" verticalDpi="0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4" r:id="rId3" name="Spinner 10">
              <controlPr defaultSize="0" autoPict="0">
                <anchor moveWithCells="1" sizeWithCells="1">
                  <from>
                    <xdr:col>3</xdr:col>
                    <xdr:colOff>12700</xdr:colOff>
                    <xdr:row>0</xdr:row>
                    <xdr:rowOff>12700</xdr:rowOff>
                  </from>
                  <to>
                    <xdr:col>3</xdr:col>
                    <xdr:colOff>393700</xdr:colOff>
                    <xdr:row>0</xdr:row>
                    <xdr:rowOff>292100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4" name="Spinner 12">
              <controlPr defaultSize="0" autoPict="0">
                <anchor moveWithCells="1" sizeWithCells="1">
                  <from>
                    <xdr:col>5</xdr:col>
                    <xdr:colOff>12700</xdr:colOff>
                    <xdr:row>0</xdr:row>
                    <xdr:rowOff>12700</xdr:rowOff>
                  </from>
                  <to>
                    <xdr:col>5</xdr:col>
                    <xdr:colOff>393700</xdr:colOff>
                    <xdr:row>0</xdr:row>
                    <xdr:rowOff>292100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5" name="Spinner 13">
              <controlPr defaultSize="0" autoPict="0">
                <anchor moveWithCells="1" sizeWithCells="1">
                  <from>
                    <xdr:col>7</xdr:col>
                    <xdr:colOff>50800</xdr:colOff>
                    <xdr:row>0</xdr:row>
                    <xdr:rowOff>12700</xdr:rowOff>
                  </from>
                  <to>
                    <xdr:col>7</xdr:col>
                    <xdr:colOff>431800</xdr:colOff>
                    <xdr:row>0</xdr:row>
                    <xdr:rowOff>292100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6" name="Spinner 14">
              <controlPr defaultSize="0" autoPict="0">
                <anchor moveWithCells="1" sizeWithCells="1">
                  <from>
                    <xdr:col>9</xdr:col>
                    <xdr:colOff>88900</xdr:colOff>
                    <xdr:row>0</xdr:row>
                    <xdr:rowOff>25400</xdr:rowOff>
                  </from>
                  <to>
                    <xdr:col>9</xdr:col>
                    <xdr:colOff>469900</xdr:colOff>
                    <xdr:row>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7" name="Spinner 15">
              <controlPr defaultSize="0" autoPict="0">
                <anchor moveWithCells="1" sizeWithCells="1">
                  <from>
                    <xdr:col>11</xdr:col>
                    <xdr:colOff>88900</xdr:colOff>
                    <xdr:row>0</xdr:row>
                    <xdr:rowOff>12700</xdr:rowOff>
                  </from>
                  <to>
                    <xdr:col>11</xdr:col>
                    <xdr:colOff>469900</xdr:colOff>
                    <xdr:row>0</xdr:row>
                    <xdr:rowOff>292100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8" name="Spinner 16">
              <controlPr defaultSize="0" autoPict="0">
                <anchor moveWithCells="1" sizeWithCells="1">
                  <from>
                    <xdr:col>13</xdr:col>
                    <xdr:colOff>127000</xdr:colOff>
                    <xdr:row>0</xdr:row>
                    <xdr:rowOff>12700</xdr:rowOff>
                  </from>
                  <to>
                    <xdr:col>13</xdr:col>
                    <xdr:colOff>508000</xdr:colOff>
                    <xdr:row>0</xdr:row>
                    <xdr:rowOff>292100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9" name="Spinner 17">
              <controlPr defaultSize="0" autoPict="0">
                <anchor moveWithCells="1" sizeWithCells="1">
                  <from>
                    <xdr:col>15</xdr:col>
                    <xdr:colOff>215900</xdr:colOff>
                    <xdr:row>0</xdr:row>
                    <xdr:rowOff>12700</xdr:rowOff>
                  </from>
                  <to>
                    <xdr:col>15</xdr:col>
                    <xdr:colOff>596900</xdr:colOff>
                    <xdr:row>0</xdr:row>
                    <xdr:rowOff>292100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10" name="Spinner 18">
              <controlPr defaultSize="0" autoPict="0">
                <anchor moveWithCells="1" sizeWithCells="1">
                  <from>
                    <xdr:col>17</xdr:col>
                    <xdr:colOff>203200</xdr:colOff>
                    <xdr:row>0</xdr:row>
                    <xdr:rowOff>12700</xdr:rowOff>
                  </from>
                  <to>
                    <xdr:col>17</xdr:col>
                    <xdr:colOff>584200</xdr:colOff>
                    <xdr:row>0</xdr:row>
                    <xdr:rowOff>292100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11" name="Spinner 19">
              <controlPr defaultSize="0" autoPict="0">
                <anchor moveWithCells="1" sizeWithCells="1">
                  <from>
                    <xdr:col>19</xdr:col>
                    <xdr:colOff>241300</xdr:colOff>
                    <xdr:row>0</xdr:row>
                    <xdr:rowOff>12700</xdr:rowOff>
                  </from>
                  <to>
                    <xdr:col>19</xdr:col>
                    <xdr:colOff>622300</xdr:colOff>
                    <xdr:row>0</xdr:row>
                    <xdr:rowOff>292100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12" name="Spinner 20">
              <controlPr defaultSize="0" autoPict="0">
                <anchor moveWithCells="1" sizeWithCells="1">
                  <from>
                    <xdr:col>21</xdr:col>
                    <xdr:colOff>241300</xdr:colOff>
                    <xdr:row>0</xdr:row>
                    <xdr:rowOff>12700</xdr:rowOff>
                  </from>
                  <to>
                    <xdr:col>21</xdr:col>
                    <xdr:colOff>622300</xdr:colOff>
                    <xdr:row>0</xdr:row>
                    <xdr:rowOff>292100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13" name="Spinner 21">
              <controlPr defaultSize="0" autoPict="0">
                <anchor moveWithCells="1" sizeWithCells="1">
                  <from>
                    <xdr:col>23</xdr:col>
                    <xdr:colOff>241300</xdr:colOff>
                    <xdr:row>0</xdr:row>
                    <xdr:rowOff>12700</xdr:rowOff>
                  </from>
                  <to>
                    <xdr:col>23</xdr:col>
                    <xdr:colOff>622300</xdr:colOff>
                    <xdr:row>0</xdr:row>
                    <xdr:rowOff>292100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14" name="Spinner 22">
              <controlPr defaultSize="0" autoPict="0">
                <anchor moveWithCells="1" sizeWithCells="1">
                  <from>
                    <xdr:col>25</xdr:col>
                    <xdr:colOff>241300</xdr:colOff>
                    <xdr:row>0</xdr:row>
                    <xdr:rowOff>12700</xdr:rowOff>
                  </from>
                  <to>
                    <xdr:col>25</xdr:col>
                    <xdr:colOff>622300</xdr:colOff>
                    <xdr:row>0</xdr:row>
                    <xdr:rowOff>292100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7" r:id="rId15" name="Spinner 23">
              <controlPr defaultSize="0" autoPict="0">
                <anchor moveWithCells="1" sizeWithCells="1">
                  <from>
                    <xdr:col>27</xdr:col>
                    <xdr:colOff>241300</xdr:colOff>
                    <xdr:row>0</xdr:row>
                    <xdr:rowOff>12700</xdr:rowOff>
                  </from>
                  <to>
                    <xdr:col>27</xdr:col>
                    <xdr:colOff>622300</xdr:colOff>
                    <xdr:row>0</xdr:row>
                    <xdr:rowOff>292100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8" r:id="rId16" name="Spinner 24">
              <controlPr defaultSize="0" autoPict="0">
                <anchor moveWithCells="1" sizeWithCells="1">
                  <from>
                    <xdr:col>29</xdr:col>
                    <xdr:colOff>241300</xdr:colOff>
                    <xdr:row>0</xdr:row>
                    <xdr:rowOff>12700</xdr:rowOff>
                  </from>
                  <to>
                    <xdr:col>29</xdr:col>
                    <xdr:colOff>622300</xdr:colOff>
                    <xdr:row>0</xdr:row>
                    <xdr:rowOff>292100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008F9-5FEB-8E4F-A041-AA24205687BE}">
  <dimension ref="A1:AD30"/>
  <sheetViews>
    <sheetView workbookViewId="0">
      <selection activeCell="H35" sqref="H35"/>
    </sheetView>
  </sheetViews>
  <sheetFormatPr baseColWidth="10" defaultRowHeight="16" x14ac:dyDescent="0.2"/>
  <cols>
    <col min="1" max="30" width="5.83203125" customWidth="1"/>
  </cols>
  <sheetData>
    <row r="1" spans="1:30" x14ac:dyDescent="0.2">
      <c r="A1" s="1" t="s">
        <v>66</v>
      </c>
    </row>
    <row r="3" spans="1:30" x14ac:dyDescent="0.2">
      <c r="A3" s="22" t="s">
        <v>0</v>
      </c>
      <c r="B3" s="23">
        <v>9</v>
      </c>
      <c r="C3" s="24" t="s">
        <v>0</v>
      </c>
      <c r="D3" s="23">
        <v>9</v>
      </c>
      <c r="E3" s="24" t="s">
        <v>0</v>
      </c>
      <c r="F3" s="23">
        <v>9</v>
      </c>
      <c r="G3" s="24" t="s">
        <v>0</v>
      </c>
      <c r="H3" s="23">
        <v>1</v>
      </c>
      <c r="I3" s="24" t="s">
        <v>0</v>
      </c>
      <c r="J3" s="23">
        <v>9</v>
      </c>
      <c r="K3" s="24" t="s">
        <v>0</v>
      </c>
      <c r="L3" s="23">
        <v>9</v>
      </c>
      <c r="M3" s="24" t="s">
        <v>0</v>
      </c>
      <c r="N3" s="23">
        <v>9</v>
      </c>
      <c r="O3" s="24" t="s">
        <v>0</v>
      </c>
      <c r="P3" s="23">
        <v>7</v>
      </c>
      <c r="Q3" s="24" t="s">
        <v>0</v>
      </c>
      <c r="R3" s="23">
        <v>2</v>
      </c>
      <c r="S3" s="24" t="s">
        <v>0</v>
      </c>
      <c r="T3" s="23">
        <v>9</v>
      </c>
      <c r="U3" s="24" t="s">
        <v>0</v>
      </c>
      <c r="V3" s="23">
        <v>9</v>
      </c>
      <c r="W3" s="24" t="s">
        <v>0</v>
      </c>
      <c r="X3" s="23">
        <v>5</v>
      </c>
      <c r="Y3" s="24" t="s">
        <v>0</v>
      </c>
      <c r="Z3" s="23">
        <v>9</v>
      </c>
      <c r="AA3" s="24" t="s">
        <v>0</v>
      </c>
      <c r="AB3" s="23">
        <v>6</v>
      </c>
      <c r="AC3" s="10"/>
      <c r="AD3" s="24">
        <v>16</v>
      </c>
    </row>
    <row r="4" spans="1:30" x14ac:dyDescent="0.2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</row>
    <row r="5" spans="1:30" x14ac:dyDescent="0.2">
      <c r="A5" s="22" t="s">
        <v>0</v>
      </c>
      <c r="B5" s="23">
        <v>1</v>
      </c>
      <c r="C5" s="24" t="s">
        <v>0</v>
      </c>
      <c r="D5" s="23">
        <v>9</v>
      </c>
      <c r="E5" s="24" t="s">
        <v>0</v>
      </c>
      <c r="F5" s="23">
        <v>9</v>
      </c>
      <c r="G5" s="24" t="s">
        <v>0</v>
      </c>
      <c r="H5" s="23">
        <v>1</v>
      </c>
      <c r="I5" s="24" t="s">
        <v>0</v>
      </c>
      <c r="J5" s="23">
        <v>9</v>
      </c>
      <c r="K5" s="24" t="s">
        <v>0</v>
      </c>
      <c r="L5" s="23">
        <v>9</v>
      </c>
      <c r="M5" s="24" t="s">
        <v>0</v>
      </c>
      <c r="N5" s="23">
        <v>9</v>
      </c>
      <c r="O5" s="24" t="s">
        <v>0</v>
      </c>
      <c r="P5" s="23">
        <v>7</v>
      </c>
      <c r="Q5" s="24" t="s">
        <v>0</v>
      </c>
      <c r="R5" s="23">
        <v>2</v>
      </c>
      <c r="S5" s="24" t="s">
        <v>0</v>
      </c>
      <c r="T5" s="23">
        <v>9</v>
      </c>
      <c r="U5" s="24" t="s">
        <v>0</v>
      </c>
      <c r="V5" s="23">
        <v>9</v>
      </c>
      <c r="W5" s="24" t="s">
        <v>0</v>
      </c>
      <c r="X5" s="23">
        <v>5</v>
      </c>
      <c r="Y5" s="24" t="s">
        <v>0</v>
      </c>
      <c r="Z5" s="23">
        <v>9</v>
      </c>
      <c r="AA5" s="24" t="s">
        <v>0</v>
      </c>
      <c r="AB5" s="23">
        <v>6</v>
      </c>
      <c r="AC5" s="10"/>
      <c r="AD5" s="24">
        <v>8</v>
      </c>
    </row>
    <row r="6" spans="1:30" x14ac:dyDescent="0.2">
      <c r="A6" s="10"/>
      <c r="B6" s="10"/>
      <c r="C6" s="10"/>
      <c r="D6" s="10"/>
      <c r="E6" s="10"/>
      <c r="F6" s="10"/>
      <c r="G6" s="10"/>
      <c r="H6" s="10"/>
      <c r="I6" s="26"/>
      <c r="J6" s="26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</row>
    <row r="7" spans="1:30" x14ac:dyDescent="0.2">
      <c r="A7" s="22" t="s">
        <v>0</v>
      </c>
      <c r="B7" s="23">
        <v>1</v>
      </c>
      <c r="C7" s="24" t="s">
        <v>0</v>
      </c>
      <c r="D7" s="23">
        <v>7</v>
      </c>
      <c r="E7" s="24" t="s">
        <v>0</v>
      </c>
      <c r="F7" s="23">
        <v>9</v>
      </c>
      <c r="G7" s="24" t="s">
        <v>0</v>
      </c>
      <c r="H7" s="23">
        <v>1</v>
      </c>
      <c r="I7" s="24" t="s">
        <v>0</v>
      </c>
      <c r="J7" s="23">
        <v>9</v>
      </c>
      <c r="K7" s="24" t="s">
        <v>0</v>
      </c>
      <c r="L7" s="23">
        <v>9</v>
      </c>
      <c r="M7" s="24" t="s">
        <v>0</v>
      </c>
      <c r="N7" s="23">
        <v>9</v>
      </c>
      <c r="O7" s="24" t="s">
        <v>0</v>
      </c>
      <c r="P7" s="23">
        <v>7</v>
      </c>
      <c r="Q7" s="24" t="s">
        <v>0</v>
      </c>
      <c r="R7" s="23">
        <v>2</v>
      </c>
      <c r="S7" s="24" t="s">
        <v>0</v>
      </c>
      <c r="T7" s="23">
        <v>9</v>
      </c>
      <c r="U7" s="24" t="s">
        <v>0</v>
      </c>
      <c r="V7" s="23">
        <v>9</v>
      </c>
      <c r="W7" s="24" t="s">
        <v>0</v>
      </c>
      <c r="X7" s="23">
        <v>4</v>
      </c>
      <c r="Y7" s="24" t="s">
        <v>0</v>
      </c>
      <c r="Z7" s="23">
        <v>9</v>
      </c>
      <c r="AA7" s="24" t="s">
        <v>0</v>
      </c>
      <c r="AB7" s="23">
        <v>1</v>
      </c>
      <c r="AC7" s="10"/>
      <c r="AD7" s="24">
        <v>6</v>
      </c>
    </row>
    <row r="8" spans="1:30" x14ac:dyDescent="0.2">
      <c r="A8" s="10"/>
      <c r="B8" s="10"/>
      <c r="C8" s="10"/>
      <c r="D8" s="10"/>
      <c r="E8" s="10"/>
      <c r="F8" s="10"/>
      <c r="G8" s="10"/>
      <c r="H8" s="10"/>
      <c r="I8" s="24"/>
      <c r="J8" s="24"/>
      <c r="K8" s="10"/>
      <c r="L8" s="10"/>
      <c r="M8" s="10"/>
      <c r="N8" s="10"/>
      <c r="O8" s="10"/>
      <c r="P8" s="10"/>
      <c r="Q8" s="10"/>
      <c r="R8" s="10"/>
      <c r="S8" s="25"/>
      <c r="T8" s="25"/>
      <c r="U8" s="10"/>
      <c r="V8" s="10"/>
      <c r="W8" s="10"/>
      <c r="X8" s="10"/>
      <c r="Y8" s="10"/>
      <c r="Z8" s="10"/>
      <c r="AA8" s="10"/>
      <c r="AB8" s="10"/>
      <c r="AC8" s="10"/>
      <c r="AD8" s="10"/>
    </row>
    <row r="9" spans="1:30" x14ac:dyDescent="0.2">
      <c r="A9" s="22" t="s">
        <v>0</v>
      </c>
      <c r="B9" s="23">
        <v>9</v>
      </c>
      <c r="C9" s="24" t="s">
        <v>0</v>
      </c>
      <c r="D9" s="23">
        <v>7</v>
      </c>
      <c r="E9" s="24" t="s">
        <v>0</v>
      </c>
      <c r="F9" s="23">
        <v>9</v>
      </c>
      <c r="G9" s="24" t="s">
        <v>0</v>
      </c>
      <c r="H9" s="23">
        <v>1</v>
      </c>
      <c r="I9" s="24" t="s">
        <v>0</v>
      </c>
      <c r="J9" s="23">
        <v>9</v>
      </c>
      <c r="K9" s="24" t="s">
        <v>0</v>
      </c>
      <c r="L9" s="23">
        <v>9</v>
      </c>
      <c r="M9" s="24" t="s">
        <v>0</v>
      </c>
      <c r="N9" s="23">
        <v>9</v>
      </c>
      <c r="O9" s="24" t="s">
        <v>0</v>
      </c>
      <c r="P9" s="23">
        <v>7</v>
      </c>
      <c r="Q9" s="24" t="s">
        <v>0</v>
      </c>
      <c r="R9" s="23">
        <v>2</v>
      </c>
      <c r="S9" s="24" t="s">
        <v>0</v>
      </c>
      <c r="T9" s="23">
        <v>9</v>
      </c>
      <c r="U9" s="24" t="s">
        <v>0</v>
      </c>
      <c r="V9" s="23">
        <v>9</v>
      </c>
      <c r="W9" s="24" t="s">
        <v>0</v>
      </c>
      <c r="X9" s="23">
        <v>4</v>
      </c>
      <c r="Y9" s="24" t="s">
        <v>0</v>
      </c>
      <c r="Z9" s="23">
        <v>9</v>
      </c>
      <c r="AA9" s="24" t="s">
        <v>0</v>
      </c>
      <c r="AB9" s="23">
        <v>5</v>
      </c>
      <c r="AC9" s="10"/>
      <c r="AD9" s="24">
        <v>0</v>
      </c>
    </row>
    <row r="12" spans="1:30" x14ac:dyDescent="0.2">
      <c r="A12" s="1" t="s">
        <v>67</v>
      </c>
    </row>
    <row r="14" spans="1:30" x14ac:dyDescent="0.2">
      <c r="A14" s="7" t="s">
        <v>0</v>
      </c>
      <c r="B14" s="17">
        <v>1</v>
      </c>
      <c r="C14" s="7" t="s">
        <v>0</v>
      </c>
      <c r="D14" s="17">
        <v>4</v>
      </c>
      <c r="E14" s="7" t="s">
        <v>0</v>
      </c>
      <c r="F14" s="17">
        <v>8</v>
      </c>
      <c r="G14" s="7" t="s">
        <v>0</v>
      </c>
      <c r="H14" s="17">
        <v>1</v>
      </c>
      <c r="I14" s="7" t="s">
        <v>0</v>
      </c>
      <c r="J14" s="17">
        <v>9</v>
      </c>
      <c r="K14" s="7" t="s">
        <v>0</v>
      </c>
      <c r="L14" s="17">
        <v>1</v>
      </c>
      <c r="M14" s="7" t="s">
        <v>0</v>
      </c>
      <c r="N14" s="17">
        <v>3</v>
      </c>
      <c r="O14" s="7" t="s">
        <v>0</v>
      </c>
      <c r="P14" s="17">
        <v>1</v>
      </c>
      <c r="Q14" s="7" t="s">
        <v>0</v>
      </c>
      <c r="R14" s="17">
        <v>1</v>
      </c>
      <c r="S14" s="7" t="s">
        <v>0</v>
      </c>
      <c r="T14" s="17">
        <v>8</v>
      </c>
      <c r="U14" s="7" t="s">
        <v>0</v>
      </c>
      <c r="V14" s="17">
        <v>2</v>
      </c>
      <c r="W14" s="7" t="s">
        <v>0</v>
      </c>
      <c r="X14" s="17">
        <v>1</v>
      </c>
      <c r="Y14" s="7" t="s">
        <v>0</v>
      </c>
      <c r="Z14" s="17">
        <v>4</v>
      </c>
      <c r="AA14" s="7" t="s">
        <v>0</v>
      </c>
      <c r="AB14" s="17">
        <v>1</v>
      </c>
      <c r="AD14">
        <v>8</v>
      </c>
    </row>
    <row r="16" spans="1:30" x14ac:dyDescent="0.2">
      <c r="A16" s="7" t="s">
        <v>0</v>
      </c>
      <c r="B16" s="17">
        <v>5</v>
      </c>
      <c r="C16" s="7" t="s">
        <v>0</v>
      </c>
      <c r="D16" s="17">
        <v>7</v>
      </c>
      <c r="E16" s="7" t="s">
        <v>0</v>
      </c>
      <c r="F16" s="17">
        <v>9</v>
      </c>
      <c r="G16" s="7" t="s">
        <v>0</v>
      </c>
      <c r="H16" s="17">
        <v>1</v>
      </c>
      <c r="I16" s="7" t="s">
        <v>0</v>
      </c>
      <c r="J16" s="17">
        <v>9</v>
      </c>
      <c r="K16" s="7" t="s">
        <v>0</v>
      </c>
      <c r="L16" s="17">
        <v>1</v>
      </c>
      <c r="M16" s="7" t="s">
        <v>0</v>
      </c>
      <c r="N16" s="17">
        <v>3</v>
      </c>
      <c r="O16" s="7" t="s">
        <v>0</v>
      </c>
      <c r="P16" s="17">
        <v>1</v>
      </c>
      <c r="Q16" s="7" t="s">
        <v>0</v>
      </c>
      <c r="R16" s="17">
        <v>1</v>
      </c>
      <c r="S16" s="7" t="s">
        <v>0</v>
      </c>
      <c r="T16" s="17">
        <v>8</v>
      </c>
      <c r="U16" s="7" t="s">
        <v>0</v>
      </c>
      <c r="V16" s="17">
        <v>1</v>
      </c>
      <c r="W16" s="7" t="s">
        <v>0</v>
      </c>
      <c r="X16" s="17">
        <v>4</v>
      </c>
      <c r="Y16" s="7" t="s">
        <v>0</v>
      </c>
      <c r="Z16" s="17">
        <v>9</v>
      </c>
      <c r="AA16" s="7" t="s">
        <v>0</v>
      </c>
      <c r="AB16" s="17">
        <v>1</v>
      </c>
      <c r="AD16">
        <v>0</v>
      </c>
    </row>
    <row r="18" spans="1:30" x14ac:dyDescent="0.2">
      <c r="A18" s="7" t="s">
        <v>0</v>
      </c>
      <c r="B18" s="17">
        <v>5</v>
      </c>
      <c r="C18" s="7" t="s">
        <v>0</v>
      </c>
      <c r="D18" s="17">
        <v>7</v>
      </c>
      <c r="E18" s="7" t="s">
        <v>0</v>
      </c>
      <c r="F18" s="17">
        <v>6</v>
      </c>
      <c r="G18" s="7" t="s">
        <v>0</v>
      </c>
      <c r="H18" s="17">
        <v>1</v>
      </c>
      <c r="I18" s="7" t="s">
        <v>0</v>
      </c>
      <c r="J18" s="17">
        <v>9</v>
      </c>
      <c r="K18" s="7" t="s">
        <v>0</v>
      </c>
      <c r="L18" s="17">
        <v>1</v>
      </c>
      <c r="M18" s="7" t="s">
        <v>0</v>
      </c>
      <c r="N18" s="17">
        <v>3</v>
      </c>
      <c r="O18" s="7" t="s">
        <v>0</v>
      </c>
      <c r="P18" s="17">
        <v>1</v>
      </c>
      <c r="Q18" s="7" t="s">
        <v>0</v>
      </c>
      <c r="R18" s="17">
        <v>1</v>
      </c>
      <c r="S18" s="7" t="s">
        <v>0</v>
      </c>
      <c r="T18" s="17">
        <v>8</v>
      </c>
      <c r="U18" s="7" t="s">
        <v>0</v>
      </c>
      <c r="V18" s="17">
        <v>1</v>
      </c>
      <c r="W18" s="7" t="s">
        <v>0</v>
      </c>
      <c r="X18" s="17">
        <v>1</v>
      </c>
      <c r="Y18" s="7" t="s">
        <v>0</v>
      </c>
      <c r="Z18" s="17">
        <v>9</v>
      </c>
      <c r="AA18" s="7" t="s">
        <v>0</v>
      </c>
      <c r="AB18" s="17">
        <v>1</v>
      </c>
      <c r="AD18">
        <v>0</v>
      </c>
    </row>
    <row r="20" spans="1:30" x14ac:dyDescent="0.2">
      <c r="A20" s="7" t="s">
        <v>0</v>
      </c>
      <c r="B20" s="17">
        <v>5</v>
      </c>
      <c r="C20" s="7" t="s">
        <v>0</v>
      </c>
      <c r="D20" s="17">
        <v>6</v>
      </c>
      <c r="E20" s="7" t="s">
        <v>0</v>
      </c>
      <c r="F20" s="17">
        <v>6</v>
      </c>
      <c r="G20" s="7" t="s">
        <v>0</v>
      </c>
      <c r="H20" s="17">
        <v>1</v>
      </c>
      <c r="I20" s="7" t="s">
        <v>0</v>
      </c>
      <c r="J20" s="17">
        <v>9</v>
      </c>
      <c r="K20" s="7" t="s">
        <v>0</v>
      </c>
      <c r="L20" s="17">
        <v>1</v>
      </c>
      <c r="M20" s="7" t="s">
        <v>0</v>
      </c>
      <c r="N20" s="17">
        <v>3</v>
      </c>
      <c r="O20" s="7" t="s">
        <v>0</v>
      </c>
      <c r="P20" s="17">
        <v>1</v>
      </c>
      <c r="Q20" s="7" t="s">
        <v>0</v>
      </c>
      <c r="R20" s="17">
        <v>1</v>
      </c>
      <c r="S20" s="7" t="s">
        <v>0</v>
      </c>
      <c r="T20" s="17">
        <v>8</v>
      </c>
      <c r="U20" s="7" t="s">
        <v>0</v>
      </c>
      <c r="V20" s="17">
        <v>1</v>
      </c>
      <c r="W20" s="7" t="s">
        <v>0</v>
      </c>
      <c r="X20" s="17">
        <v>1</v>
      </c>
      <c r="Y20" s="7" t="s">
        <v>0</v>
      </c>
      <c r="Z20" s="17">
        <v>8</v>
      </c>
      <c r="AA20" s="7" t="s">
        <v>0</v>
      </c>
      <c r="AB20" s="17">
        <v>1</v>
      </c>
      <c r="AD20">
        <v>0</v>
      </c>
    </row>
    <row r="22" spans="1:30" x14ac:dyDescent="0.2">
      <c r="A22" s="7" t="s">
        <v>0</v>
      </c>
      <c r="B22" s="17">
        <v>5</v>
      </c>
      <c r="C22" s="7" t="s">
        <v>0</v>
      </c>
      <c r="D22" s="17">
        <v>5</v>
      </c>
      <c r="E22" s="7" t="s">
        <v>0</v>
      </c>
      <c r="F22" s="17">
        <v>6</v>
      </c>
      <c r="G22" s="7" t="s">
        <v>0</v>
      </c>
      <c r="H22" s="17">
        <v>1</v>
      </c>
      <c r="I22" s="7" t="s">
        <v>0</v>
      </c>
      <c r="J22" s="17">
        <v>9</v>
      </c>
      <c r="K22" s="7" t="s">
        <v>0</v>
      </c>
      <c r="L22" s="17">
        <v>1</v>
      </c>
      <c r="M22" s="7" t="s">
        <v>0</v>
      </c>
      <c r="N22" s="17">
        <v>3</v>
      </c>
      <c r="O22" s="7" t="s">
        <v>0</v>
      </c>
      <c r="P22" s="17">
        <v>1</v>
      </c>
      <c r="Q22" s="7" t="s">
        <v>0</v>
      </c>
      <c r="R22" s="17">
        <v>1</v>
      </c>
      <c r="S22" s="7" t="s">
        <v>0</v>
      </c>
      <c r="T22" s="17">
        <v>8</v>
      </c>
      <c r="U22" s="7" t="s">
        <v>0</v>
      </c>
      <c r="V22" s="17">
        <v>1</v>
      </c>
      <c r="W22" s="7" t="s">
        <v>0</v>
      </c>
      <c r="X22" s="17">
        <v>1</v>
      </c>
      <c r="Y22" s="7" t="s">
        <v>0</v>
      </c>
      <c r="Z22" s="17">
        <v>7</v>
      </c>
      <c r="AA22" s="7" t="s">
        <v>0</v>
      </c>
      <c r="AB22" s="17">
        <v>1</v>
      </c>
      <c r="AD22">
        <v>0</v>
      </c>
    </row>
    <row r="24" spans="1:30" x14ac:dyDescent="0.2">
      <c r="A24" s="7" t="s">
        <v>0</v>
      </c>
      <c r="B24" s="17">
        <v>5</v>
      </c>
      <c r="C24" s="7" t="s">
        <v>0</v>
      </c>
      <c r="D24" s="17">
        <v>4</v>
      </c>
      <c r="E24" s="7" t="s">
        <v>0</v>
      </c>
      <c r="F24" s="17">
        <v>6</v>
      </c>
      <c r="G24" s="7" t="s">
        <v>0</v>
      </c>
      <c r="H24" s="17">
        <v>1</v>
      </c>
      <c r="I24" s="7" t="s">
        <v>0</v>
      </c>
      <c r="J24" s="17">
        <v>9</v>
      </c>
      <c r="K24" s="7" t="s">
        <v>0</v>
      </c>
      <c r="L24" s="17">
        <v>1</v>
      </c>
      <c r="M24" s="7" t="s">
        <v>0</v>
      </c>
      <c r="N24" s="17">
        <v>3</v>
      </c>
      <c r="O24" s="7" t="s">
        <v>0</v>
      </c>
      <c r="P24" s="17">
        <v>1</v>
      </c>
      <c r="Q24" s="7" t="s">
        <v>0</v>
      </c>
      <c r="R24" s="17">
        <v>1</v>
      </c>
      <c r="S24" s="7" t="s">
        <v>0</v>
      </c>
      <c r="T24" s="17">
        <v>8</v>
      </c>
      <c r="U24" s="7" t="s">
        <v>0</v>
      </c>
      <c r="V24" s="17">
        <v>1</v>
      </c>
      <c r="W24" s="7" t="s">
        <v>0</v>
      </c>
      <c r="X24" s="17">
        <v>1</v>
      </c>
      <c r="Y24" s="7" t="s">
        <v>0</v>
      </c>
      <c r="Z24" s="17">
        <v>6</v>
      </c>
      <c r="AA24" s="7" t="s">
        <v>0</v>
      </c>
      <c r="AB24" s="17">
        <v>1</v>
      </c>
      <c r="AD24">
        <v>0</v>
      </c>
    </row>
    <row r="26" spans="1:30" x14ac:dyDescent="0.2">
      <c r="A26" s="7" t="s">
        <v>0</v>
      </c>
      <c r="B26" s="17">
        <v>5</v>
      </c>
      <c r="C26" s="7" t="s">
        <v>0</v>
      </c>
      <c r="D26" s="17">
        <v>3</v>
      </c>
      <c r="E26" s="7" t="s">
        <v>0</v>
      </c>
      <c r="F26" s="17">
        <v>6</v>
      </c>
      <c r="G26" s="7" t="s">
        <v>0</v>
      </c>
      <c r="H26" s="17">
        <v>1</v>
      </c>
      <c r="I26" s="7" t="s">
        <v>0</v>
      </c>
      <c r="J26" s="17">
        <v>9</v>
      </c>
      <c r="K26" s="7" t="s">
        <v>0</v>
      </c>
      <c r="L26" s="17">
        <v>1</v>
      </c>
      <c r="M26" s="7" t="s">
        <v>0</v>
      </c>
      <c r="N26" s="17">
        <v>3</v>
      </c>
      <c r="O26" s="7" t="s">
        <v>0</v>
      </c>
      <c r="P26" s="17">
        <v>1</v>
      </c>
      <c r="Q26" s="7" t="s">
        <v>0</v>
      </c>
      <c r="R26" s="17">
        <v>1</v>
      </c>
      <c r="S26" s="7" t="s">
        <v>0</v>
      </c>
      <c r="T26" s="17">
        <v>8</v>
      </c>
      <c r="U26" s="7" t="s">
        <v>0</v>
      </c>
      <c r="V26" s="17">
        <v>1</v>
      </c>
      <c r="W26" s="7" t="s">
        <v>0</v>
      </c>
      <c r="X26" s="17">
        <v>1</v>
      </c>
      <c r="Y26" s="7" t="s">
        <v>0</v>
      </c>
      <c r="Z26" s="17">
        <v>5</v>
      </c>
      <c r="AA26" s="7" t="s">
        <v>0</v>
      </c>
      <c r="AB26" s="17">
        <v>1</v>
      </c>
      <c r="AD26">
        <v>0</v>
      </c>
    </row>
    <row r="28" spans="1:30" x14ac:dyDescent="0.2">
      <c r="A28" s="22" t="s">
        <v>0</v>
      </c>
      <c r="B28" s="23">
        <v>5</v>
      </c>
      <c r="C28" s="24" t="s">
        <v>0</v>
      </c>
      <c r="D28" s="23">
        <v>2</v>
      </c>
      <c r="E28" s="24" t="s">
        <v>0</v>
      </c>
      <c r="F28" s="23">
        <v>6</v>
      </c>
      <c r="G28" s="24" t="s">
        <v>0</v>
      </c>
      <c r="H28" s="23">
        <v>1</v>
      </c>
      <c r="I28" s="24" t="s">
        <v>0</v>
      </c>
      <c r="J28" s="23">
        <v>9</v>
      </c>
      <c r="K28" s="24" t="s">
        <v>0</v>
      </c>
      <c r="L28" s="23">
        <v>1</v>
      </c>
      <c r="M28" s="24" t="s">
        <v>0</v>
      </c>
      <c r="N28" s="23">
        <v>3</v>
      </c>
      <c r="O28" s="24" t="s">
        <v>0</v>
      </c>
      <c r="P28" s="23">
        <v>1</v>
      </c>
      <c r="Q28" s="24" t="s">
        <v>0</v>
      </c>
      <c r="R28" s="23">
        <v>1</v>
      </c>
      <c r="S28" s="24" t="s">
        <v>0</v>
      </c>
      <c r="T28" s="23">
        <v>8</v>
      </c>
      <c r="U28" s="24" t="s">
        <v>0</v>
      </c>
      <c r="V28" s="23">
        <v>1</v>
      </c>
      <c r="W28" s="24" t="s">
        <v>0</v>
      </c>
      <c r="X28" s="23">
        <v>1</v>
      </c>
      <c r="Y28" s="24" t="s">
        <v>0</v>
      </c>
      <c r="Z28" s="23">
        <v>4</v>
      </c>
      <c r="AA28" s="24" t="s">
        <v>0</v>
      </c>
      <c r="AB28" s="23">
        <v>1</v>
      </c>
    </row>
    <row r="30" spans="1:30" x14ac:dyDescent="0.2">
      <c r="A30" s="7" t="s">
        <v>0</v>
      </c>
      <c r="B30" s="17">
        <v>5</v>
      </c>
      <c r="C30" s="7" t="s">
        <v>0</v>
      </c>
      <c r="D30" s="17">
        <v>1</v>
      </c>
      <c r="E30" s="7" t="s">
        <v>0</v>
      </c>
      <c r="F30" s="17">
        <v>6</v>
      </c>
      <c r="G30" s="7" t="s">
        <v>0</v>
      </c>
      <c r="H30" s="17">
        <v>1</v>
      </c>
      <c r="I30" s="7" t="s">
        <v>0</v>
      </c>
      <c r="J30" s="17">
        <v>9</v>
      </c>
      <c r="K30" s="7" t="s">
        <v>0</v>
      </c>
      <c r="L30" s="17">
        <v>1</v>
      </c>
      <c r="M30" s="7" t="s">
        <v>0</v>
      </c>
      <c r="N30" s="17">
        <v>3</v>
      </c>
      <c r="O30" s="7" t="s">
        <v>0</v>
      </c>
      <c r="P30" s="17">
        <v>1</v>
      </c>
      <c r="Q30" s="7" t="s">
        <v>0</v>
      </c>
      <c r="R30" s="17">
        <v>1</v>
      </c>
      <c r="S30" s="7" t="s">
        <v>0</v>
      </c>
      <c r="T30" s="17">
        <v>8</v>
      </c>
      <c r="U30" s="7" t="s">
        <v>0</v>
      </c>
      <c r="V30" s="17">
        <v>1</v>
      </c>
      <c r="W30" s="7" t="s">
        <v>0</v>
      </c>
      <c r="X30" s="17">
        <v>1</v>
      </c>
      <c r="Y30" s="7" t="s">
        <v>0</v>
      </c>
      <c r="Z30" s="17">
        <v>3</v>
      </c>
      <c r="AA30" s="7" t="s">
        <v>0</v>
      </c>
      <c r="AB30" s="17">
        <v>1</v>
      </c>
      <c r="AD3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ALU</vt:lpstr>
      <vt:lpstr>candidates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Petr</dc:creator>
  <cp:lastModifiedBy>Martin Petr</cp:lastModifiedBy>
  <dcterms:created xsi:type="dcterms:W3CDTF">2025-12-16T19:25:59Z</dcterms:created>
  <dcterms:modified xsi:type="dcterms:W3CDTF">2026-01-06T16:09:30Z</dcterms:modified>
</cp:coreProperties>
</file>